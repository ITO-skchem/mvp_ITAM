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skdiscovery.sharepoint.com/sites/a_apiteam_2651/Shared Documents/999. 서비스관리/"/>
    </mc:Choice>
  </mc:AlternateContent>
  <bookViews>
    <workbookView xWindow="28680" yWindow="-120" windowWidth="29040" windowHeight="15720" tabRatio="581" firstSheet="2" xr2:uid="{B6F517E9-714F-4ABE-95AB-B2728A490DC9}"/>
  </bookViews>
  <sheets>
    <sheet name="서비스 Master" sheetId="4" r:id="rId1"/>
    <sheet name="인프라 정보" sheetId="6" r:id="rId2"/>
    <sheet name="비상연락망" sheetId="5" r:id="rId3"/>
    <sheet name="메일링리스트" sheetId="11" r:id="rId4"/>
    <sheet name="Dataset" sheetId="12" r:id="rId5"/>
    <sheet name="인력 Master" sheetId="16" r:id="rId6"/>
    <sheet name="DB SIZE 조사(26년1월2일)" sheetId="13" r:id="rId7"/>
    <sheet name="컴포넌트 조사" sheetId="14" r:id="rId8"/>
    <sheet name="(미사용_삭제)인프라 정보" sheetId="9" r:id="rId9"/>
    <sheet name="서비스 Master (2)" sheetId="15" r:id="rId10"/>
  </sheets>
  <definedNames>
    <definedName name="_xlnm._FilterDatabase" localSheetId="8" hidden="1">'(미사용_삭제)인프라 정보'!$B$4:$O$5</definedName>
    <definedName name="_xlnm._FilterDatabase" localSheetId="6" hidden="1">'DB SIZE 조사(26년1월2일)'!$B$3:$J$54</definedName>
    <definedName name="_xlnm._FilterDatabase" localSheetId="9" hidden="1">'서비스 Master (2)'!$A$3:$AU$62</definedName>
    <definedName name="_xlnm._FilterDatabase" localSheetId="7" hidden="1">'컴포넌트 조사'!$A$2:$M$2</definedName>
    <definedName name="_xlnm._FilterDatabase" localSheetId="0" hidden="1">'서비스 Master'!$A$3:$XEZ$3</definedName>
    <definedName name="_xlnm._FilterDatabase" localSheetId="1" hidden="1">'인프라 정보'!$A$4:$AC$146</definedName>
    <definedName name="_xlnm._FilterDatabase" localSheetId="5" hidden="1">'인력 Master'!$A$1:$J$1</definedName>
    <definedName name="_xlnm._FilterDatabase" localSheetId="2" hidden="1">비상연락망!$A$2:$L$60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6" l="1"/>
  <c r="I27" i="16"/>
  <c r="I28" i="16"/>
  <c r="I29" i="16"/>
  <c r="I30" i="16"/>
  <c r="I31" i="16"/>
  <c r="I32" i="16"/>
  <c r="I33" i="16"/>
  <c r="I36" i="16"/>
  <c r="I37" i="16"/>
  <c r="I38" i="16"/>
  <c r="I42" i="16"/>
  <c r="I43" i="16"/>
  <c r="I44" i="16"/>
  <c r="I45" i="16"/>
  <c r="I46" i="16"/>
  <c r="I47" i="16"/>
  <c r="I48" i="16"/>
  <c r="I49" i="16"/>
  <c r="I54" i="16"/>
  <c r="I55" i="16"/>
  <c r="I56" i="16"/>
  <c r="I58" i="16"/>
  <c r="I64" i="16"/>
  <c r="I65" i="16"/>
  <c r="I3" i="16"/>
  <c r="I2" i="5" a="1"/>
  <c r="I2" i="5"/>
  <c r="E3" i="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0" i="15"/>
  <c r="D19" i="15"/>
  <c r="D18" i="15"/>
  <c r="D17" i="15"/>
  <c r="D16" i="15"/>
  <c r="D15" i="15"/>
  <c r="D14" i="15"/>
  <c r="D13" i="15"/>
  <c r="D12" i="15"/>
  <c r="D11" i="15"/>
  <c r="D10" i="15"/>
  <c r="D9" i="15"/>
  <c r="D8" i="15"/>
  <c r="D7" i="15"/>
  <c r="D6" i="15"/>
  <c r="D5" i="15"/>
  <c r="D4" i="15"/>
  <c r="E57" i="5"/>
  <c r="A79" i="14"/>
  <c r="A78" i="14"/>
  <c r="A17" i="14"/>
  <c r="A16" i="14"/>
  <c r="A15" i="14"/>
  <c r="E95" i="6"/>
  <c r="D95" i="6"/>
  <c r="C95" i="6"/>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137" i="6"/>
  <c r="D137" i="6"/>
  <c r="E137" i="6"/>
  <c r="A17" i="13"/>
  <c r="E59" i="6"/>
  <c r="D59" i="6"/>
  <c r="C59" i="6"/>
  <c r="B6" i="11"/>
  <c r="E111" i="6"/>
  <c r="D111" i="6"/>
  <c r="C111" i="6"/>
  <c r="E46" i="6"/>
  <c r="D46" i="6"/>
  <c r="C46" i="6"/>
  <c r="E45" i="6"/>
  <c r="D45" i="6"/>
  <c r="C45" i="6"/>
  <c r="E110" i="6"/>
  <c r="D110" i="6"/>
  <c r="C110" i="6"/>
  <c r="E100" i="6"/>
  <c r="E97" i="6"/>
  <c r="D100" i="6"/>
  <c r="D97" i="6"/>
  <c r="C100" i="6"/>
  <c r="C97" i="6"/>
  <c r="D32" i="4"/>
  <c r="E145" i="6"/>
  <c r="E144" i="6"/>
  <c r="E143" i="6"/>
  <c r="E142" i="6"/>
  <c r="E141" i="6"/>
  <c r="E140" i="6"/>
  <c r="E139" i="6"/>
  <c r="E138"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09" i="6"/>
  <c r="E108" i="6"/>
  <c r="E107" i="6"/>
  <c r="E106" i="6"/>
  <c r="E105" i="6"/>
  <c r="E104" i="6"/>
  <c r="E103" i="6"/>
  <c r="E102" i="6"/>
  <c r="E101" i="6"/>
  <c r="E99" i="6"/>
  <c r="E98" i="6"/>
  <c r="E96"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8" i="6"/>
  <c r="E57" i="6"/>
  <c r="E56" i="6"/>
  <c r="E55" i="6"/>
  <c r="E54" i="6"/>
  <c r="E53" i="6"/>
  <c r="E52" i="6"/>
  <c r="E51" i="6"/>
  <c r="E50" i="6"/>
  <c r="E49" i="6"/>
  <c r="E48" i="6"/>
  <c r="E47"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4" i="6"/>
  <c r="E13" i="6"/>
  <c r="E12" i="6"/>
  <c r="E11" i="6"/>
  <c r="E10" i="6"/>
  <c r="E9" i="6"/>
  <c r="E8" i="6"/>
  <c r="E7" i="6"/>
  <c r="E6" i="6"/>
  <c r="C145" i="6"/>
  <c r="C144" i="6"/>
  <c r="C143" i="6"/>
  <c r="C142" i="6"/>
  <c r="C141" i="6"/>
  <c r="C140" i="6"/>
  <c r="C139" i="6"/>
  <c r="C138"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09" i="6"/>
  <c r="C108" i="6"/>
  <c r="C107" i="6"/>
  <c r="C106" i="6"/>
  <c r="C105" i="6"/>
  <c r="C104" i="6"/>
  <c r="C103" i="6"/>
  <c r="C102" i="6"/>
  <c r="C101" i="6"/>
  <c r="C99" i="6"/>
  <c r="C98" i="6"/>
  <c r="C96"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8" i="6"/>
  <c r="C57" i="6"/>
  <c r="C56" i="6"/>
  <c r="C55" i="6"/>
  <c r="C54" i="6"/>
  <c r="C53" i="6"/>
  <c r="C52" i="6"/>
  <c r="C51" i="6"/>
  <c r="C50" i="6"/>
  <c r="C49" i="6"/>
  <c r="C48" i="6"/>
  <c r="C47"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4" i="6"/>
  <c r="C13" i="6"/>
  <c r="C12" i="6"/>
  <c r="C11" i="6"/>
  <c r="C10" i="6"/>
  <c r="C9" i="6"/>
  <c r="C8" i="6"/>
  <c r="C7" i="6"/>
  <c r="C6" i="6"/>
  <c r="D145" i="6"/>
  <c r="D144" i="6"/>
  <c r="D143" i="6"/>
  <c r="D142" i="6"/>
  <c r="D141" i="6"/>
  <c r="D140" i="6"/>
  <c r="D139" i="6"/>
  <c r="D138"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09" i="6"/>
  <c r="D108" i="6"/>
  <c r="D107" i="6"/>
  <c r="D106" i="6"/>
  <c r="D105" i="6"/>
  <c r="D104" i="6"/>
  <c r="D103" i="6"/>
  <c r="D102" i="6"/>
  <c r="D101" i="6"/>
  <c r="D99" i="6"/>
  <c r="D98" i="6"/>
  <c r="D96"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8" i="6"/>
  <c r="D57" i="6"/>
  <c r="D56" i="6"/>
  <c r="D55" i="6"/>
  <c r="D54" i="6"/>
  <c r="D53" i="6"/>
  <c r="D52" i="6"/>
  <c r="D51" i="6"/>
  <c r="D50" i="6"/>
  <c r="D49" i="6"/>
  <c r="D48" i="6"/>
  <c r="D47"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4" i="6"/>
  <c r="D13" i="6"/>
  <c r="D12" i="6"/>
  <c r="D11" i="6"/>
  <c r="D10" i="6"/>
  <c r="D9" i="6"/>
  <c r="D8" i="6"/>
  <c r="D7" i="6"/>
  <c r="D6" i="6"/>
  <c r="A15" i="6"/>
  <c r="A34" i="6"/>
  <c r="A35" i="6"/>
  <c r="A56" i="6"/>
  <c r="A57" i="6"/>
  <c r="A58" i="6"/>
  <c r="E60" i="5"/>
  <c r="E59" i="5"/>
  <c r="E58" i="5"/>
  <c r="E56" i="5"/>
  <c r="E55" i="5"/>
  <c r="E54" i="5"/>
  <c r="E53" i="5"/>
  <c r="E52" i="5"/>
  <c r="E51" i="5"/>
  <c r="E50" i="5"/>
  <c r="E49" i="5"/>
  <c r="E48" i="5"/>
  <c r="E47" i="5"/>
  <c r="E46" i="5"/>
  <c r="E45" i="5"/>
  <c r="E44" i="5"/>
  <c r="E43" i="5"/>
  <c r="E42" i="5"/>
  <c r="E41" i="5"/>
  <c r="E39" i="5"/>
  <c r="E38" i="5"/>
  <c r="E37" i="5"/>
  <c r="E35" i="5"/>
  <c r="E34" i="5"/>
  <c r="E33" i="5"/>
  <c r="E32" i="5"/>
  <c r="E31" i="5"/>
  <c r="E30" i="5"/>
  <c r="E29" i="5"/>
  <c r="E28" i="5"/>
  <c r="E27" i="5"/>
  <c r="E26" i="5"/>
  <c r="E25" i="5"/>
  <c r="E24" i="5"/>
  <c r="E23" i="5"/>
  <c r="E22" i="5"/>
  <c r="E21" i="5"/>
  <c r="E20" i="5"/>
  <c r="E19" i="5"/>
  <c r="E18" i="5"/>
  <c r="E17" i="5"/>
  <c r="E16" i="5"/>
  <c r="E14" i="5"/>
  <c r="E12" i="5"/>
  <c r="E11" i="5"/>
  <c r="E10" i="5"/>
  <c r="E9" i="5"/>
  <c r="E8" i="5"/>
  <c r="E7" i="5"/>
  <c r="E6" i="5"/>
  <c r="E5" i="5"/>
  <c r="E4" i="5"/>
  <c r="C5" i="6"/>
  <c r="D5" i="6"/>
  <c r="D13" i="4"/>
  <c r="A10" i="13" s="1"/>
  <c r="C3"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E5" i="6"/>
  <c r="B4" i="11"/>
  <c r="B2" i="11"/>
  <c r="D62" i="4"/>
  <c r="A54" i="13" s="1"/>
  <c r="D61" i="4"/>
  <c r="A53" i="13" s="1"/>
  <c r="D60" i="4"/>
  <c r="D59" i="4"/>
  <c r="D58" i="4"/>
  <c r="D57" i="4"/>
  <c r="D56" i="4"/>
  <c r="D55" i="4"/>
  <c r="D54" i="4"/>
  <c r="D53" i="4"/>
  <c r="A43" i="13" s="1"/>
  <c r="D52" i="4"/>
  <c r="D51" i="4"/>
  <c r="D50" i="4"/>
  <c r="D49" i="4"/>
  <c r="D48" i="4"/>
  <c r="D47" i="4"/>
  <c r="D46" i="4"/>
  <c r="D45" i="4"/>
  <c r="D44" i="4"/>
  <c r="D43" i="4"/>
  <c r="D42" i="4"/>
  <c r="A34" i="13" s="1"/>
  <c r="D41" i="4"/>
  <c r="A76" i="6" s="1"/>
  <c r="D40" i="4"/>
  <c r="D39" i="4"/>
  <c r="D38" i="4"/>
  <c r="A31" i="13" s="1"/>
  <c r="D37" i="4"/>
  <c r="D36" i="4"/>
  <c r="D35" i="4"/>
  <c r="D34" i="4"/>
  <c r="D33" i="4"/>
  <c r="D31" i="4"/>
  <c r="D30" i="4"/>
  <c r="D29" i="4"/>
  <c r="D28" i="4"/>
  <c r="D27" i="4"/>
  <c r="D26" i="4"/>
  <c r="D25" i="4"/>
  <c r="A19" i="13" s="1"/>
  <c r="D24" i="4"/>
  <c r="A18" i="13" s="1"/>
  <c r="D23" i="4"/>
  <c r="D22" i="4"/>
  <c r="D20" i="4"/>
  <c r="A16" i="13" s="1"/>
  <c r="D19" i="4"/>
  <c r="A15" i="13" s="1"/>
  <c r="D18" i="4"/>
  <c r="D17" i="4"/>
  <c r="D16" i="4"/>
  <c r="A12" i="13" s="1"/>
  <c r="D15" i="4"/>
  <c r="D14" i="4"/>
  <c r="D12" i="4"/>
  <c r="A9" i="13" s="1"/>
  <c r="D11" i="4"/>
  <c r="D10" i="4"/>
  <c r="A5" i="14" s="1"/>
  <c r="D9" i="4"/>
  <c r="D8" i="4"/>
  <c r="A6" i="13" s="1"/>
  <c r="D7" i="4"/>
  <c r="D6" i="4"/>
  <c r="D5" i="4"/>
  <c r="D4" i="4"/>
  <c r="A3" i="14" s="1"/>
  <c r="A5" i="13" l="1"/>
  <c r="A4" i="14"/>
  <c r="A11" i="13"/>
  <c r="A10" i="14"/>
  <c r="A9" i="14"/>
  <c r="A8" i="14"/>
  <c r="A6" i="14"/>
  <c r="A7" i="14"/>
  <c r="A13" i="13"/>
  <c r="A12" i="14"/>
  <c r="A11" i="14"/>
  <c r="A14" i="14"/>
  <c r="A13" i="14"/>
  <c r="A18" i="14"/>
  <c r="A19" i="14"/>
  <c r="A20" i="14"/>
  <c r="A21" i="14"/>
  <c r="A22" i="14"/>
  <c r="A21" i="13"/>
  <c r="A24" i="14"/>
  <c r="A23" i="14"/>
  <c r="A22" i="13"/>
  <c r="A25" i="14"/>
  <c r="A26" i="14"/>
  <c r="A23" i="13"/>
  <c r="A27" i="14"/>
  <c r="A24" i="13"/>
  <c r="A29" i="14"/>
  <c r="A28" i="14"/>
  <c r="A25" i="13"/>
  <c r="A30" i="14"/>
  <c r="A31" i="14"/>
  <c r="A28" i="13"/>
  <c r="A34" i="14"/>
  <c r="A35" i="14"/>
  <c r="A36" i="14"/>
  <c r="A29" i="13"/>
  <c r="A39" i="14"/>
  <c r="A38" i="14"/>
  <c r="A37" i="14"/>
  <c r="A32" i="13"/>
  <c r="A40" i="14"/>
  <c r="A41" i="14"/>
  <c r="A33" i="13"/>
  <c r="A44" i="14"/>
  <c r="A42" i="14"/>
  <c r="A43" i="14"/>
  <c r="A35" i="13"/>
  <c r="A47" i="14"/>
  <c r="A46" i="14"/>
  <c r="A45" i="14"/>
  <c r="A36" i="13"/>
  <c r="A50" i="14"/>
  <c r="A49" i="14"/>
  <c r="A48" i="14"/>
  <c r="A37" i="13"/>
  <c r="A51" i="14"/>
  <c r="A38" i="13"/>
  <c r="A52" i="14"/>
  <c r="A39" i="13"/>
  <c r="A53" i="14"/>
  <c r="A54" i="14"/>
  <c r="A55" i="14"/>
  <c r="A56" i="14"/>
  <c r="A57" i="14"/>
  <c r="A58" i="14"/>
  <c r="A95" i="6"/>
  <c r="A41" i="13"/>
  <c r="A59" i="14"/>
  <c r="A60" i="14"/>
  <c r="A42" i="13"/>
  <c r="A61" i="14"/>
  <c r="A62" i="14"/>
  <c r="A44" i="13"/>
  <c r="A63" i="14"/>
  <c r="A45" i="13"/>
  <c r="A65" i="14"/>
  <c r="A64" i="14"/>
  <c r="A51" i="13"/>
  <c r="A71" i="14"/>
  <c r="A70" i="14"/>
  <c r="A69" i="14"/>
  <c r="A68" i="14"/>
  <c r="A67" i="14"/>
  <c r="A66" i="14"/>
  <c r="A77" i="14"/>
  <c r="A76" i="14"/>
  <c r="A75" i="14"/>
  <c r="A74" i="14"/>
  <c r="A73" i="14"/>
  <c r="A72" i="14"/>
  <c r="A32" i="14"/>
  <c r="A33" i="14"/>
  <c r="A52" i="13"/>
  <c r="A137" i="6"/>
  <c r="A6" i="6"/>
  <c r="A4" i="13"/>
  <c r="A5" i="6"/>
  <c r="A13" i="6"/>
  <c r="A7" i="13"/>
  <c r="A14" i="6"/>
  <c r="A8" i="13"/>
  <c r="A29" i="6"/>
  <c r="A14" i="13"/>
  <c r="A41" i="6"/>
  <c r="A20" i="13"/>
  <c r="A60" i="6"/>
  <c r="A27" i="13"/>
  <c r="A69" i="6"/>
  <c r="A30" i="13"/>
  <c r="A94" i="6"/>
  <c r="A40" i="13"/>
  <c r="A46" i="13"/>
  <c r="A47" i="13"/>
  <c r="A48" i="13"/>
  <c r="A49" i="13"/>
  <c r="A119" i="6"/>
  <c r="A50" i="13"/>
  <c r="A26" i="13"/>
  <c r="A59" i="6"/>
  <c r="A7" i="6"/>
  <c r="A8" i="6"/>
  <c r="A9" i="6"/>
  <c r="A10" i="6"/>
  <c r="A11" i="6"/>
  <c r="A12" i="6"/>
  <c r="A16" i="6"/>
  <c r="A17" i="6"/>
  <c r="A20" i="6"/>
  <c r="A21" i="6"/>
  <c r="A22" i="6"/>
  <c r="A23" i="6"/>
  <c r="A24" i="6"/>
  <c r="A25" i="6"/>
  <c r="A26" i="6"/>
  <c r="A27" i="6"/>
  <c r="A28" i="6"/>
  <c r="A30" i="6"/>
  <c r="A31" i="6"/>
  <c r="A32" i="6"/>
  <c r="A33" i="6"/>
  <c r="A36" i="6"/>
  <c r="A37" i="6"/>
  <c r="A38" i="6"/>
  <c r="A39" i="6"/>
  <c r="A40" i="6"/>
  <c r="A42" i="6"/>
  <c r="A43" i="6"/>
  <c r="A44" i="6"/>
  <c r="A47" i="6"/>
  <c r="A48" i="6"/>
  <c r="A49" i="6"/>
  <c r="A50" i="6"/>
  <c r="A51" i="6"/>
  <c r="A52" i="6"/>
  <c r="A53" i="6"/>
  <c r="A54" i="6"/>
  <c r="A55" i="6"/>
  <c r="A61" i="6"/>
  <c r="A62" i="6"/>
  <c r="A63" i="6"/>
  <c r="A64" i="6"/>
  <c r="A65" i="6"/>
  <c r="A66" i="6"/>
  <c r="A67" i="6"/>
  <c r="A68" i="6"/>
  <c r="A70" i="6"/>
  <c r="A71" i="6"/>
  <c r="A72" i="6"/>
  <c r="A73" i="6"/>
  <c r="A74" i="6"/>
  <c r="A75" i="6"/>
  <c r="A77" i="6"/>
  <c r="A78" i="6"/>
  <c r="A79" i="6"/>
  <c r="A80" i="6"/>
  <c r="A81" i="6"/>
  <c r="A82" i="6"/>
  <c r="A83" i="6"/>
  <c r="A84" i="6"/>
  <c r="A85" i="6"/>
  <c r="A86" i="6"/>
  <c r="A87" i="6"/>
  <c r="A88" i="6"/>
  <c r="A89" i="6"/>
  <c r="A90" i="6"/>
  <c r="A91" i="6"/>
  <c r="A92" i="6"/>
  <c r="A93" i="6"/>
  <c r="A97" i="6"/>
  <c r="A96" i="6"/>
  <c r="A98" i="6"/>
  <c r="A100" i="6"/>
  <c r="A99" i="6"/>
  <c r="A101" i="6"/>
  <c r="A102" i="6"/>
  <c r="A103" i="6"/>
  <c r="A104" i="6"/>
  <c r="A105" i="6"/>
  <c r="A106" i="6"/>
  <c r="A107" i="6"/>
  <c r="A108" i="6"/>
  <c r="A109" i="6"/>
  <c r="A112" i="6"/>
  <c r="A113" i="6"/>
  <c r="A114" i="6"/>
  <c r="A115" i="6"/>
  <c r="A116" i="6"/>
  <c r="A117" i="6"/>
  <c r="A118" i="6"/>
  <c r="A120" i="6"/>
  <c r="A121" i="6"/>
  <c r="A122" i="6"/>
  <c r="A123" i="6"/>
  <c r="A124" i="6"/>
  <c r="A125" i="6"/>
  <c r="A126" i="6"/>
  <c r="A127" i="6"/>
  <c r="A128" i="6"/>
  <c r="A129" i="6"/>
  <c r="A130" i="6"/>
  <c r="A131" i="6"/>
  <c r="A132" i="6"/>
  <c r="A133" i="6"/>
  <c r="A134" i="6"/>
  <c r="A135" i="6"/>
  <c r="A136" i="6"/>
  <c r="A138" i="6"/>
  <c r="A139" i="6"/>
  <c r="A140" i="6"/>
  <c r="A141" i="6"/>
  <c r="A143" i="6"/>
  <c r="A142" i="6"/>
  <c r="A144" i="6"/>
  <c r="A145" i="6"/>
  <c r="A18" i="6"/>
  <c r="A19" i="6"/>
  <c r="A5" i="9"/>
  <c r="L1"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<sst xmlns="http://schemas.openxmlformats.org/spreadsheetml/2006/main" count="7232" uniqueCount="1635">
  <si>
    <t>Appl. 담당</t>
    <phoneticPr fontId="4" type="noConversion"/>
  </si>
  <si>
    <t>고객사 IT 담당</t>
    <phoneticPr fontId="4" type="noConversion"/>
  </si>
  <si>
    <t>Infa 담당자(SK/협)</t>
  </si>
  <si>
    <t>Front-End</t>
  </si>
  <si>
    <t>Back-End</t>
  </si>
  <si>
    <t>운영환경</t>
    <phoneticPr fontId="4" type="noConversion"/>
  </si>
  <si>
    <t>자동화도구</t>
    <phoneticPr fontId="1" type="noConversion"/>
  </si>
  <si>
    <t>모니터링</t>
    <phoneticPr fontId="1" type="noConversion"/>
  </si>
  <si>
    <t>시스템 활용도</t>
  </si>
  <si>
    <t>비고(특이사항)</t>
    <phoneticPr fontId="4" type="noConversion"/>
  </si>
  <si>
    <t>서비스 대상</t>
  </si>
  <si>
    <t>No</t>
  </si>
  <si>
    <t>구분</t>
  </si>
  <si>
    <t xml:space="preserve">시스템명 </t>
  </si>
  <si>
    <t>시스템 구분 번호</t>
  </si>
  <si>
    <t>설명</t>
  </si>
  <si>
    <t>당사 관리 
범위</t>
    <phoneticPr fontId="4" type="noConversion"/>
  </si>
  <si>
    <t>서비스
등급</t>
    <phoneticPr fontId="4" type="noConversion"/>
  </si>
  <si>
    <t>서비스
수준</t>
    <phoneticPr fontId="4" type="noConversion"/>
  </si>
  <si>
    <t>담당 회사</t>
    <phoneticPr fontId="4" type="noConversion"/>
  </si>
  <si>
    <t>담당 부서</t>
    <phoneticPr fontId="4" type="noConversion"/>
  </si>
  <si>
    <t>담당 팀장</t>
    <phoneticPr fontId="4" type="noConversion"/>
  </si>
  <si>
    <t xml:space="preserve">담당자 </t>
    <phoneticPr fontId="4" type="noConversion"/>
  </si>
  <si>
    <t>협력</t>
    <phoneticPr fontId="1" type="noConversion"/>
  </si>
  <si>
    <t>서버(OS)</t>
  </si>
  <si>
    <t>MW</t>
  </si>
  <si>
    <t>DB</t>
  </si>
  <si>
    <t>NW</t>
  </si>
  <si>
    <t>서비스 오픈일</t>
  </si>
  <si>
    <t>SI/솔루션</t>
  </si>
  <si>
    <t>언어</t>
  </si>
  <si>
    <t>Framework</t>
  </si>
  <si>
    <t>Middleware</t>
  </si>
  <si>
    <t>Cloud구분</t>
    <phoneticPr fontId="4" type="noConversion"/>
  </si>
  <si>
    <t>CSP</t>
    <phoneticPr fontId="4" type="noConversion"/>
  </si>
  <si>
    <t>DB</t>
    <phoneticPr fontId="4" type="noConversion"/>
  </si>
  <si>
    <t>형상관리</t>
    <phoneticPr fontId="1" type="noConversion"/>
  </si>
  <si>
    <t>코드
(개발F/W)</t>
    <phoneticPr fontId="1" type="noConversion"/>
  </si>
  <si>
    <t>배포</t>
    <phoneticPr fontId="1" type="noConversion"/>
  </si>
  <si>
    <t>Infra
(서버,DB,MW)</t>
    <phoneticPr fontId="1" type="noConversion"/>
  </si>
  <si>
    <t>N/W</t>
    <phoneticPr fontId="4" type="noConversion"/>
  </si>
  <si>
    <t>APM</t>
    <phoneticPr fontId="1" type="noConversion"/>
  </si>
  <si>
    <t>ITGC여부</t>
    <phoneticPr fontId="1" type="noConversion"/>
  </si>
  <si>
    <t>전체 사용자수</t>
  </si>
  <si>
    <t>활성 사용자수</t>
  </si>
  <si>
    <t>오너 부서</t>
  </si>
  <si>
    <t>활용 주기</t>
  </si>
  <si>
    <t xml:space="preserve"> GC </t>
  </si>
  <si>
    <t xml:space="preserve"> 파마 </t>
  </si>
  <si>
    <t xml:space="preserve"> 플라즈마 </t>
  </si>
  <si>
    <t xml:space="preserve"> MU </t>
  </si>
  <si>
    <t xml:space="preserve"> 엔티스 </t>
  </si>
  <si>
    <t xml:space="preserve"> 대정 </t>
  </si>
  <si>
    <t xml:space="preserve"> DY </t>
  </si>
  <si>
    <t>BS</t>
  </si>
  <si>
    <t>BS Share 비율
(케미칼 : 바사)</t>
  </si>
  <si>
    <t>BS Share 비고</t>
  </si>
  <si>
    <t>경영지원</t>
  </si>
  <si>
    <t>HR G/W HCM G/W</t>
  </si>
  <si>
    <t>[시스템 개요]
HCM 클라우드 인사관리시스템과 기간/레가시간 데이터 중계 시스템
[주요 기능]
1. HCM 의 인사 및 조직 정보 및 변경 내역을 Daily 로 ERP 및 Legacy 시스템으로 I/F
2. GC, LS, 플라즈마, BS, DY 공통으로 사용 중임</t>
  </si>
  <si>
    <t>Appl</t>
    <phoneticPr fontId="1" type="noConversion"/>
  </si>
  <si>
    <t>C&amp;C</t>
    <phoneticPr fontId="4" type="noConversion"/>
  </si>
  <si>
    <t>제조MIS서비스2팀</t>
  </si>
  <si>
    <t>정철우</t>
  </si>
  <si>
    <t>조래옥</t>
  </si>
  <si>
    <t>유원혁</t>
  </si>
  <si>
    <t>DT팀</t>
    <phoneticPr fontId="1" type="noConversion"/>
  </si>
  <si>
    <t>두상헌</t>
    <phoneticPr fontId="1" type="noConversion"/>
  </si>
  <si>
    <t>김햇빛</t>
  </si>
  <si>
    <t>SI 개발</t>
  </si>
  <si>
    <t>C# 5.0</t>
  </si>
  <si>
    <t>.Net 4.5</t>
  </si>
  <si>
    <t>N</t>
  </si>
  <si>
    <t>MSSQL 2019</t>
  </si>
  <si>
    <t>bitbucket</t>
  </si>
  <si>
    <t>Jenkins</t>
  </si>
  <si>
    <t>Datadog</t>
  </si>
  <si>
    <t>O</t>
  </si>
  <si>
    <t>0.647:0.335</t>
  </si>
  <si>
    <t>인력/서비스 Share : 유원혁 M, 25년 : 0.642:0.338</t>
  </si>
  <si>
    <t>MDM 시스템</t>
  </si>
  <si>
    <t>[시스템 개요]
전사기준정보(고객,공급업체,제품,원부재료,기자재,설비) 주요 코드를 생성하여 ERP등 필요 시스템에 넘겨주는 시스템
[주요 기능]
1. 마스터 코드 생성</t>
  </si>
  <si>
    <t>Plant서비스팀</t>
  </si>
  <si>
    <t>이동호</t>
  </si>
  <si>
    <t>이용재</t>
  </si>
  <si>
    <t>민준홍</t>
  </si>
  <si>
    <t>DT팀</t>
  </si>
  <si>
    <t>두상헌</t>
  </si>
  <si>
    <t>유현상</t>
  </si>
  <si>
    <t>솔루션</t>
  </si>
  <si>
    <t>Javascript ES5 / JSP 2.3</t>
  </si>
  <si>
    <t>jQuery 1.11.1 / Ext JS 7.4.0.42</t>
  </si>
  <si>
    <t>Java 1.8</t>
  </si>
  <si>
    <t>Spring 4.3.22</t>
  </si>
  <si>
    <t>Y</t>
  </si>
  <si>
    <t>AWS</t>
  </si>
  <si>
    <t>MSSQL 2017</t>
  </si>
  <si>
    <t>Y</t>
    <phoneticPr fontId="1" type="noConversion"/>
  </si>
  <si>
    <t>MDM 유지보수</t>
    <phoneticPr fontId="1" type="noConversion"/>
  </si>
  <si>
    <t>솔루션 유지보수</t>
    <phoneticPr fontId="1" type="noConversion"/>
  </si>
  <si>
    <t>N/A</t>
  </si>
  <si>
    <t>솔루션 유지보수</t>
  </si>
  <si>
    <t>PMO</t>
    <phoneticPr fontId="1" type="noConversion"/>
  </si>
  <si>
    <t>[시스템 개요]
내부통제 및 품질관리
Legacy PMO</t>
    <phoneticPr fontId="1" type="noConversion"/>
  </si>
  <si>
    <t>최문석/홍명기</t>
  </si>
  <si>
    <t>민석홍</t>
  </si>
  <si>
    <t>인력 Share : 최문석 M, 25년 : 0.642:0.338</t>
  </si>
  <si>
    <t>RPA</t>
    <phoneticPr fontId="1" type="noConversion"/>
  </si>
  <si>
    <t>[시스템 개요]
RPA(Robotic Process Automation). 반복적이고 규칙적인 업무를 소프트웨어 봇이 자동화하여 수행하는 시스템
현재 75개 프로세스 운영 중
[주요 기능]
1. 업무 프로세스 자동화
2. 프로세스 스케쥴링
3. 이메일 트리거 실행</t>
  </si>
  <si>
    <t>이인</t>
  </si>
  <si>
    <t>김건휘</t>
  </si>
  <si>
    <t>A360</t>
  </si>
  <si>
    <t>UI/UX</t>
  </si>
  <si>
    <t>[시스템 개요]
웹 기획 및 웹 퍼블리싱/디자인</t>
  </si>
  <si>
    <t>양미라</t>
  </si>
  <si>
    <t>구)e-HR</t>
  </si>
  <si>
    <t>[시스템 개요]
케미칼 과거 인사시스템
[주요기능]
1. 케미칼 과거 인사데이터
2. 케미칼 과거 연말정산 데이터 보관</t>
  </si>
  <si>
    <t>정정배/김기정</t>
  </si>
  <si>
    <t>JSP 2.0</t>
  </si>
  <si>
    <t>JDK 1.4.2</t>
  </si>
  <si>
    <t>Oracle 10g</t>
  </si>
  <si>
    <t>-</t>
  </si>
  <si>
    <t>데이터레이크</t>
    <phoneticPr fontId="1" type="noConversion"/>
  </si>
  <si>
    <t>[시스템 개요]
원천시스템의 데이터를 분석의 목적으로 한곳에 모아두는 정보계 시스템
[주요 기능]
1. 원천 시스템 데이터 Gathering
2. 데이터 분석</t>
  </si>
  <si>
    <t>경규민</t>
  </si>
  <si>
    <t>Python 3.9</t>
  </si>
  <si>
    <t>Apache Hudi 0.10.1</t>
  </si>
  <si>
    <t>AWS S3</t>
  </si>
  <si>
    <t>Python</t>
  </si>
  <si>
    <t>데이터포털</t>
  </si>
  <si>
    <t>[시스템 개요]
데이터레이크에 수집데이터 바탕으로 Web상에서 데이터 분석 하는 시스템</t>
  </si>
  <si>
    <t>구본호</t>
  </si>
  <si>
    <t>typescript/Javascript/html/scss</t>
  </si>
  <si>
    <t>Angular 13.3.12</t>
  </si>
  <si>
    <t>Javascript / Typescript</t>
  </si>
  <si>
    <t>NestJS 11.1.5</t>
  </si>
  <si>
    <t>Node.js 24.4.2</t>
  </si>
  <si>
    <t>Mongo DB 5.0.24</t>
  </si>
  <si>
    <t>Javascript</t>
  </si>
  <si>
    <t>수동 배포</t>
  </si>
  <si>
    <t>표준관리시스템</t>
  </si>
  <si>
    <t>[시스템 개요]
데이터레이크에 수집데이터 바탕으로 Web상에서 데이터 분석 하는 시스템`</t>
  </si>
  <si>
    <t>C&amp;C</t>
    <phoneticPr fontId="2" type="noConversion"/>
  </si>
  <si>
    <t>Javascript/JSP 2.5</t>
  </si>
  <si>
    <t>Ext JS 4.2.1</t>
  </si>
  <si>
    <t>Spring 4.2.6</t>
  </si>
  <si>
    <t>PostgreSQL 17</t>
  </si>
  <si>
    <t>데이터포털 유지보수</t>
  </si>
  <si>
    <t>법무포탈</t>
  </si>
  <si>
    <t>[시스템 개요]
기업법무 분야의 계약, 자문, 인장 업무에 대한 고객사 내 표준 프로세스 및 관리업무를 위한 법무관리시스템
[주요 기능]
1. 계약관리
2. 자문관리
3. 인장날인 관리
4. 전자인증서 관리</t>
  </si>
  <si>
    <t>김아현</t>
  </si>
  <si>
    <t>jQuery 1.12.4</t>
  </si>
  <si>
    <t>자체개발</t>
  </si>
  <si>
    <t>서비스 Share : 비용분담 X, 과거 데이터 조회용</t>
  </si>
  <si>
    <t>스마트오피스 서비스</t>
    <phoneticPr fontId="1" type="noConversion"/>
  </si>
  <si>
    <t>[시스템 개요]
ECO Lab 7층/8층 및 연구동 자율좌석 및 회의실 예약 시스템
[주요 기능]
1. 좌석예약시스템
2. 회의실 예약시스템</t>
  </si>
  <si>
    <t>변영운</t>
  </si>
  <si>
    <t>Javascript ES6 / JSP 2.3</t>
  </si>
  <si>
    <t>jQuery 3.6.0</t>
  </si>
  <si>
    <t>Spring 4.0.9</t>
  </si>
  <si>
    <t>MariaDB</t>
  </si>
  <si>
    <t>sftp</t>
  </si>
  <si>
    <t>기업문화</t>
    <phoneticPr fontId="1" type="noConversion"/>
  </si>
  <si>
    <t>ESG Data HUB</t>
  </si>
  <si>
    <t>[시스템 개요]
전사 ESG관련 Data 취합 및 관리
[주요 기능]
ESG 관련 대시보드
기후 데이터 관리
ESG 일반 데이터 관리</t>
  </si>
  <si>
    <t>한준호</t>
  </si>
  <si>
    <t>JSP</t>
  </si>
  <si>
    <t>Bootstrap 4.0</t>
  </si>
  <si>
    <t>전자정부</t>
  </si>
  <si>
    <t>Bitbucket</t>
  </si>
  <si>
    <t>Java &amp; JSP　</t>
  </si>
  <si>
    <t>톡톡 스마트오피스 앱</t>
  </si>
  <si>
    <t>[시스템 개요]
톡톡 모바일 App. Store 의 스마트오피스 App. 을 통하여 마케팅 허브에 Link 된 모바일 시스템 활용할 수 있는 시스템
[주요 기능]
1. 스마트오피스 접속 
2. 모바일 톡톡 연동
3. PG 카드수금, 전자증빙 App 연동 등 Native 기능 제공</t>
  </si>
  <si>
    <t>정상률</t>
  </si>
  <si>
    <t>Android (Kotlin) / IOS (Swift 5)</t>
  </si>
  <si>
    <t>SDK 29 / Deployment Target 13.0</t>
  </si>
  <si>
    <t xml:space="preserve">Android (Kotlin)
&amp; IOS (Swift (4)) </t>
  </si>
  <si>
    <t>서비스 Share : 비용분담 X</t>
  </si>
  <si>
    <t>영업</t>
    <phoneticPr fontId="1" type="noConversion"/>
  </si>
  <si>
    <t>CRM (S.Square)</t>
  </si>
  <si>
    <t>SK케미칼 서비스 종료</t>
  </si>
  <si>
    <t>박도현</t>
  </si>
  <si>
    <t>C#/.Net 4.5</t>
  </si>
  <si>
    <t>EOS G/W</t>
    <phoneticPr fontId="1" type="noConversion"/>
  </si>
  <si>
    <t>[시스템 개요]
MIS와 EOS 간 인터페이스 업무 처리 시스템
[주요 기능]
1. LS 영업 시스템의 주요 관리 로직 내역 I/F w/ 도매상 EOS Sys.
2. 인사, 부서 마스터 I/F w/ HCM Sys.</t>
  </si>
  <si>
    <t>김기정</t>
  </si>
  <si>
    <t>박상진</t>
  </si>
  <si>
    <t>EOS &lt;-&gt; LS-MIS, 인터페이스 GW (DB는 LS-MIS)</t>
  </si>
  <si>
    <t>SIRS</t>
  </si>
  <si>
    <t>[시스템 개요]
제품 안정성 관련 제품의 사용 후 보고된 이상사례 정보 공유 관리 시스템
[주요 기능]
1. 제품 안정성 사내 보고
2. PV (Pharmacovigilance - 약물감시) 내부 보고
3. 기준 정보 관리</t>
  </si>
  <si>
    <t>김형일</t>
  </si>
  <si>
    <t>jQuery 3.4.1</t>
  </si>
  <si>
    <t>전자정부 3.9 / Spring 4.3.22</t>
  </si>
  <si>
    <t>제외_1</t>
    <phoneticPr fontId="1" type="noConversion"/>
  </si>
  <si>
    <t>SKMU 휴폐업 중계서버</t>
    <phoneticPr fontId="1" type="noConversion"/>
  </si>
  <si>
    <t>솔루션 유지보수(고객사 직계약)</t>
    <phoneticPr fontId="1" type="noConversion"/>
  </si>
  <si>
    <t>제외_2</t>
    <phoneticPr fontId="1" type="noConversion"/>
  </si>
  <si>
    <t>SK케미칼 휴폐업 중계서버</t>
    <phoneticPr fontId="1" type="noConversion"/>
  </si>
  <si>
    <t>마케팅 허브 G/W</t>
    <phoneticPr fontId="1" type="noConversion"/>
  </si>
  <si>
    <t>[시스템 개요]
모바일 시스템들에 접속하기 위한 허브 기능 (각 Site 에 접속하기 위한 Link 제공)
[주요 기능]
1. 파마 SFE &amp; Analysis
2. 플라즈마 SFE &amp; Analysis
3. 모바일 MIS
4. 판촉샵 사이트</t>
  </si>
  <si>
    <t>Javascript ES6 / JSP 2.1</t>
  </si>
  <si>
    <t>Spring 3.1.1</t>
  </si>
  <si>
    <t>Java1.8</t>
  </si>
  <si>
    <t>모바일MIS</t>
  </si>
  <si>
    <t>[시스템 개요]
MIS 모바일 버전</t>
  </si>
  <si>
    <t>Javascript ES6 / JSP 2.2</t>
  </si>
  <si>
    <t>jQuery 1.11.1
Angular 1.2.1</t>
  </si>
  <si>
    <t>전자정부 2.7.0  / Spring 3.2.18</t>
  </si>
  <si>
    <t>엔티스_MIS</t>
  </si>
  <si>
    <t>[시스템 개요]
엔티스 내의 회계,자금,마케팅,구매,원가,생산,물류를 관리하는 시스템
[주요기능]
1. 회계관리
2. 자금관리
3. 마케팅관리
4. 구매관리
5. 원가관리
6. 생산관리
7. 물류관리</t>
  </si>
  <si>
    <t>최창길</t>
  </si>
  <si>
    <t>명진</t>
  </si>
  <si>
    <t>VB.Net 2003</t>
  </si>
  <si>
    <t>VB.Net Framework 1.1</t>
  </si>
  <si>
    <t>수동</t>
  </si>
  <si>
    <t>임가공포탈</t>
  </si>
  <si>
    <t>[시스템 개요]
임가공 관련한 구매 프로세스 관리 시스템 (GC, LS)
[주요 기능]
1. BP (협력사) 관리
2. 구매관리, 입고관리, 납품관리
3. 게시판 관리, 결재관리</t>
  </si>
  <si>
    <t>openJDK 1.8</t>
  </si>
  <si>
    <t>콜센터</t>
    <phoneticPr fontId="1" type="noConversion"/>
  </si>
  <si>
    <t>[시스템 개요]
대표전화로 인입된 고객의 상담정보를 관리하는 시스템. 고객의 문의내용, 이상반응, 제품불량 등의 상담정보를 등록관리
[주요 기능]
1. 고객상담 - 상담정보 등록
2. 상담이력관리 - 상담이력, 불만이력 관리
3. 재통화콜백관리 - 예약통화(재통화) 및 부재중(콜백) 전화이력 관리
4. 소비자제품관리 - 제품정보 확인 및 관리
5. FAQ 관리 - 제품별 FAQ정보 관리</t>
  </si>
  <si>
    <t>김은수</t>
  </si>
  <si>
    <t>Javascript 1.5 / JSP 2.3 / XML 1.0</t>
  </si>
  <si>
    <t>jQuery 3.1.1</t>
  </si>
  <si>
    <t>Java 1.8 / XML 1.0</t>
  </si>
  <si>
    <t>Spring 5.2 / homz 5.5.2</t>
  </si>
  <si>
    <t>파마 MIS</t>
  </si>
  <si>
    <t xml:space="preserve">[시스템 개요]
LS 영업 관리 시스템
[주요 기능]
1. 주문서 관리
2. 수금 관리
3. 채권 관리 / 여신관리
4. 결재 관리 (주문서, 품의서)
5. 처방관리 외 </t>
  </si>
  <si>
    <t>C# 4.0</t>
  </si>
  <si>
    <t>.Net 4.0</t>
  </si>
  <si>
    <t>C# 4.0 / 5.0</t>
  </si>
  <si>
    <t>.Net 4.0 / 4.5</t>
  </si>
  <si>
    <t>Oracle 19c</t>
  </si>
  <si>
    <t>파마 SFE</t>
  </si>
  <si>
    <t>[시스템 개요]영업 관리 시스템 (( 활동, 현황, 분석, 일비 ), 품의&amp;보고서, 모바일 MIS 모듈 포함)
[시스템 개요]
LS 영업사원 지원 관리 시스템
[주요 기능]
1. 거래처 / 고객 관리
2. Call (거래처 방문) 계획 및 실적 관리
3. 수금 관리 (카드결재)
4. 제품 설명회 / 견본품 관리
5. 부서 경비 관리
6. 지출 보고 관리 (견본품 제공, 학술대회 지원, 자문료, 강연료, 기부 외)</t>
  </si>
  <si>
    <t>jQuery 1.10.2
Angular 1.2.1</t>
  </si>
  <si>
    <t>MSSQL 2016</t>
  </si>
  <si>
    <t>플라즈마 SFE</t>
  </si>
  <si>
    <t>[시스템 개요]
플라즈마 영업사원 지원 관리 시스템
[주요 기능]
1. 거래처 / 고객 관리
2. Call (거래처 방문) 계획 및 실적 관리
3. 수금 관리 (카드결재)
4. 제품 설명회 / 견본품 관리
5. 부서 경비 관리
6. 지출 보고 관리 (견본품 제공, 학술대회 지원, 자문료, 강연료, 기부 외)</t>
  </si>
  <si>
    <t>최용진</t>
  </si>
  <si>
    <t>플라즈마 경영지원실</t>
  </si>
  <si>
    <t>임준식</t>
  </si>
  <si>
    <t>플라즈마_MIS</t>
  </si>
  <si>
    <t xml:space="preserve">[시스템 개요]
플라즈마 제품 주문서 및 거래처 관리 시스템
[주요기능]
1. 주문관리
2. 매출관리
3. 채권관리
4. 거래처 관리 </t>
  </si>
  <si>
    <t>Visual Basic 6.0</t>
  </si>
  <si>
    <t>제외_3</t>
    <phoneticPr fontId="1" type="noConversion"/>
  </si>
  <si>
    <t>재무</t>
    <phoneticPr fontId="1" type="noConversion"/>
  </si>
  <si>
    <t>SKMU 세금계산서</t>
    <phoneticPr fontId="1" type="noConversion"/>
  </si>
  <si>
    <t>SK케미칼 매입통합</t>
    <phoneticPr fontId="1" type="noConversion"/>
  </si>
  <si>
    <t>[시스템 개요]
국세청 신고된 전자세금계산서 수취 서비스
[주요 기능]
1. 전체 전자세금계산서 수취</t>
  </si>
  <si>
    <t>윤호정</t>
  </si>
  <si>
    <t>GitLab</t>
  </si>
  <si>
    <t>내부통제시스템</t>
  </si>
  <si>
    <t>[시스템 개요]
신뢰성 있는 회계 정보의 작성과 공시를 위해 회사가 갖추고 지켜야 할 재무보고에 대한 내부통제 제도이며, 재무제표 오류와 부정비리를 막기 위해 재무보고와 관련된 회사 업무를 관리 통제 하는 내부 통제 시스템
[주요 기능]
1. 스코핑 관리
2. RCM 관리
3. 모집단 관리(랜덤 SAMPLE추출 관리)
4. 증빙 관리
5. 설계/운영평가 관리
6. 위의 내용 전체 이력 관리 (운영실태평가보고서)</t>
  </si>
  <si>
    <t>김소영/황영주</t>
  </si>
  <si>
    <t>.Net 4.5.2</t>
  </si>
  <si>
    <t>SVN</t>
  </si>
  <si>
    <t>비용정산</t>
  </si>
  <si>
    <t>[시스템 개요]
법인카드, 출장비, 기타전표, 세금계산서 관련 지출결의 시스템 (GC, MU, LS)
[주요 기능]
1. 법인카드/출장비 처리
2. 판매/재무 전표 처리 및 승인 관리
3. 기타 전표 관리 (SAP 기표 임시전표 관리, SFE MR 일비 관리)
4. 전자증빙 시스템 연계 기능</t>
  </si>
  <si>
    <t>김민준</t>
  </si>
  <si>
    <t>jQuery 1.12.3</t>
  </si>
  <si>
    <t>전자정부 3.7.0</t>
  </si>
  <si>
    <t>비용정산 파투아</t>
    <phoneticPr fontId="1" type="noConversion"/>
  </si>
  <si>
    <t xml:space="preserve">[시스템 개요]
카드사로부터 법인카드 데이터 수신 Agent
[주요 기능]
1. 카드사 법인카드 사용 내역 I/F
2. 해당 내역을 비용정산 Sys. 과 I/F </t>
  </si>
  <si>
    <t>박우선</t>
  </si>
  <si>
    <t>Java 1.8 / C++ 6.0</t>
  </si>
  <si>
    <t>Java 1.8, .Net Framework 4.5</t>
  </si>
  <si>
    <t>비용정산(전자증빙)</t>
  </si>
  <si>
    <t>[시스템 개요]
회계전표에 대한 증빙 관리 시스템
[주요기능]
1. 증빙 등록 및 조회
2. 세금계산서 / 법인카드등 양식 생성
3. 모바일 증빙 등록 / 조회</t>
    <phoneticPr fontId="1" type="noConversion"/>
  </si>
  <si>
    <t>이상민</t>
  </si>
  <si>
    <t>Javascript 1.5 / JSP 2.3 / VC++ 2013</t>
  </si>
  <si>
    <t>jQuery 1.11.3 / JDK 1.8 / MFC 2013</t>
  </si>
  <si>
    <t>Git</t>
  </si>
  <si>
    <t>Java 1.8, Visual Studio 2013</t>
  </si>
  <si>
    <t>전자세금계산서</t>
  </si>
  <si>
    <t>[시스템 개요]
전자세금계산서 프로세스 관리 시스템
[주요 기능]
1. 매입/매출 세금계산서 조회
2. 세금계산서 데이터 국세청 전송 관리
3. 매출처, 매입처 기준 통계 데이터 제공 기능</t>
  </si>
  <si>
    <t>김학준/이기석</t>
  </si>
  <si>
    <t>Javascript ES2020 / JSP 2.3</t>
  </si>
  <si>
    <t>jQuery 1.12</t>
  </si>
  <si>
    <t>전자정부 4.2</t>
  </si>
  <si>
    <t>R&amp;D</t>
    <phoneticPr fontId="1" type="noConversion"/>
  </si>
  <si>
    <t>MSDS 서비스</t>
  </si>
  <si>
    <t>[시스템 개요]
SK케미칼(GC), 엔티스, SK케미칼 대정의 제품 MSDS문서 작성 및 유지관리 시스템
1. MSDS 작성 및 발행 
2. 산업안전보건법 이행대상 관리 
3. 화학물질 DB (화학물질의 국내외 규제 확인 기능)
4. 국내외 규제 daily 업데이트</t>
  </si>
  <si>
    <t>우은정</t>
  </si>
  <si>
    <t>JSP 2.3</t>
  </si>
  <si>
    <t>jQuery 3.3.1</t>
  </si>
  <si>
    <t>Spring 5.1.9</t>
  </si>
  <si>
    <t>디테일링서비스</t>
  </si>
  <si>
    <t>SK케미칼 서비스 종료, BS만 단독 사용</t>
  </si>
  <si>
    <t>MSSQL 2008</t>
  </si>
  <si>
    <t>C#/.Net 4.0</t>
  </si>
  <si>
    <t>특허관리시스템</t>
  </si>
  <si>
    <t>[시스템 개요]
특허, 상표 등 지식재산권의 발굴-출원-등록-사후관리를 통합 관리하는 시스템
[주요 기능]
1. Workflow 기반의 지재권 통합 관리
2. 지재권 비용 관리
3. 특허사무소 Online 연계</t>
  </si>
  <si>
    <t>이대현</t>
  </si>
  <si>
    <t>Javascript / JSP</t>
  </si>
  <si>
    <t>jQuery 1.1</t>
  </si>
  <si>
    <t>화학연구소 CMS</t>
  </si>
  <si>
    <t>[시스템 개요]
화학물질(시약, 위험물 등)의 구매/입고/사용/폐기까지 전주기(재고)를 시스템으로 관리하며, 관련된 규제DB를 연동하여 취급물질의 법규 대응과 재고관리를 가능하게 해주는 시스템
[주요 기능]
1. 연구실관리
2. 규제검토
3. 화학물질 관리
4. 폐기관리</t>
  </si>
  <si>
    <t>한만석</t>
  </si>
  <si>
    <t>jQuery 1.8.3</t>
  </si>
  <si>
    <t>전자정부 3.5</t>
  </si>
  <si>
    <t> SFTP</t>
  </si>
  <si>
    <t>화학연구소 RPMS</t>
  </si>
  <si>
    <t xml:space="preserve">[시스템 개요]
GC 연구소에서 활용 중인 과제 관리 시스템
[주요 기능]
1. 과제 프로젝트 일정 관리, 이슈관리, 생산 이관 관리 (과제 수행 내역)
2. 산출물 관리
3. 분석 의뢰 및 결과 관리
4. 성형가공 lab 기기, 중합 Pilot 배대 관리 </t>
  </si>
  <si>
    <t>유민아</t>
  </si>
  <si>
    <t>Javascript 1.5</t>
  </si>
  <si>
    <t>Dojo 1.9.8</t>
  </si>
  <si>
    <t>PackageImportExport</t>
  </si>
  <si>
    <t>0.5:0.5</t>
  </si>
  <si>
    <t>인력 Share : 유민아 M</t>
  </si>
  <si>
    <t>화학연구소 RPMS 유지보수</t>
    <phoneticPr fontId="1" type="noConversion"/>
  </si>
  <si>
    <t>SHE</t>
    <phoneticPr fontId="1" type="noConversion"/>
  </si>
  <si>
    <t>안동 SHE</t>
  </si>
  <si>
    <t>[시스템 개요]
플라즈마의 안전, 보건, 환경 관리 시스템
[주요 기능]
1. 안전 - 변경관리, 사고관리, 안전점검, 작업허가서 관리 외
2. 보건 - 근골격계 관리, 보건 상탐, 보호구 관리 외
3. 환경 - 인허가, 환경영향평가</t>
  </si>
  <si>
    <t>이재영</t>
  </si>
  <si>
    <t>Javascript ES8(ES2017)</t>
  </si>
  <si>
    <t>Vue 2.6.14</t>
  </si>
  <si>
    <t>Spring Boot 2.1.1 / Spring 5.1.3</t>
  </si>
  <si>
    <t>Node.js 22.19.0 / MyBatis 3.5.11</t>
  </si>
  <si>
    <t>Vue.js 2.6, Java 1.8</t>
  </si>
  <si>
    <t>청주 SHE</t>
  </si>
  <si>
    <t>[시스템 개요]
LS의 안전, 보건, 환경 관리 시스템
[주요 기능]
1. 안전 - 변경관리, 사고관리, 안전점검, 작업허가서 관리 외
2. 보건 - 근골격계 관리, 보건 상탐, 보호구 관리 외
3. 환경 - 인허가, 환경영향평가</t>
  </si>
  <si>
    <t>생산</t>
    <phoneticPr fontId="1" type="noConversion"/>
  </si>
  <si>
    <t>SCM</t>
    <phoneticPr fontId="1" type="noConversion"/>
  </si>
  <si>
    <t>[시스템 개요]
케미컬 GC 사업부의 Supply Chain Management 시스템
[주요 기능]
1. 판매 계획 입력 및 관리
2. 재고 정책 관리 및 타 제약 조건에 대한 마스터 관리
3. 생산 필요량 산출 및 생산 계획 조정 / 확정, 자재 소요량 산출</t>
  </si>
  <si>
    <t>최봉진</t>
  </si>
  <si>
    <t>Javascript ES6+</t>
  </si>
  <si>
    <t>React 18.2.0</t>
  </si>
  <si>
    <t>Java 17</t>
  </si>
  <si>
    <t>Spring Boot 2.5.14</t>
  </si>
  <si>
    <t>Node.js 14.21.3</t>
  </si>
  <si>
    <t>SCM 유지보수</t>
    <phoneticPr fontId="1" type="noConversion"/>
  </si>
  <si>
    <t>품질</t>
    <phoneticPr fontId="1" type="noConversion"/>
  </si>
  <si>
    <t>엔티스 LIMS</t>
  </si>
  <si>
    <t xml:space="preserve">[시스템 개요]
엔티스 시험 정보 관리 시스템
[주요 기능]
1. 시험의뢰 및 시험내역 관리
2. 시험 결과 판정 관리
3. 시험 성적서 출력 외 </t>
  </si>
  <si>
    <t>최창길/김기정</t>
  </si>
  <si>
    <t>C# 3.0</t>
  </si>
  <si>
    <t>.Net 3.5</t>
  </si>
  <si>
    <t>파마 LIMS</t>
  </si>
  <si>
    <t xml:space="preserve">[시스템 개요]
LS 시험 정보 관리 시스템
(구 LIMS 이며, 2024 상반기에 신 LIMS 로 대체 예정임)
[주요 기능]
1. 시험의뢰 및 시험내역 관리
2. 시험 결과 판정 관리
3. 시험 성적서 출력 외 </t>
  </si>
  <si>
    <t>(구)데이터 조회용</t>
  </si>
  <si>
    <t>플라즈마 LIMS</t>
  </si>
  <si>
    <t xml:space="preserve">[시스템 개요]
플라즈마 시험 정보 관리 시스템
[주요 기능]
1. 시험의뢰 및 시험내역 관리
2. 시험 결과 판정 관리
3. 시험 성적서 출력 외 </t>
  </si>
  <si>
    <t>구매</t>
    <phoneticPr fontId="1" type="noConversion"/>
  </si>
  <si>
    <t>EDI</t>
  </si>
  <si>
    <t>[시스템 개요]
외환 및 상역 업무용 표준전자 문서를 작성하고 관련 거래상대방과 EDI송수신 등의 기능을 제공하는 웹서비스
[주요 기능]
1.  신용장 신청 및 수취
2.  은행 외환 업무 등 유관기관과의 업무</t>
  </si>
  <si>
    <t>최슬기</t>
  </si>
  <si>
    <t>Javascript ES6</t>
  </si>
  <si>
    <t>jQuery 1.3.2</t>
  </si>
  <si>
    <t>ASP 3.0</t>
  </si>
  <si>
    <t xml:space="preserve">MSSQL 2008 </t>
  </si>
  <si>
    <t>ASP</t>
  </si>
  <si>
    <t>SKYSCM</t>
  </si>
  <si>
    <t xml:space="preserve">[시스템 개요]
LS 해외사업팀에서 사용하는 문서관리 시스템
(실제 SCM 관리 기능은 전혀 없음)
[주요 기능]
1. PO &amp; Batch 관련 문서 관리
2. 각 문서들에 대한 Upload / Download 기능 </t>
  </si>
  <si>
    <t>정정배</t>
  </si>
  <si>
    <t>C# 5.0 / Javascript ES6</t>
  </si>
  <si>
    <t>.Net 4.5 / bootsterap.js (v3.3.1) / jqgrid.js (v4.6.0) / jquery.js (v1.10.2) / jquery-ui.js(v1.10.2) / underscore.js (v1.7.0)</t>
  </si>
  <si>
    <t>.Net 4.8</t>
  </si>
  <si>
    <t>구매포탈</t>
  </si>
  <si>
    <t>[시스템 개요]
자재설비, 수선공사 구매 프로세스 관리 시스템 (GC, LS, MU)
[주요 기능]
1. BP (협력사) 관리
2. 단가관리, 구매의뢰 접수, 발주 관리
3. 계약관리, 입고/정산 관리</t>
  </si>
  <si>
    <t>박정현</t>
  </si>
  <si>
    <t>ERP</t>
    <phoneticPr fontId="1" type="noConversion"/>
  </si>
  <si>
    <t>SAP</t>
  </si>
  <si>
    <t>FI/CO/QM/PP/SD/펌뱅킹/수출입/자금관리 모듈 사용</t>
  </si>
  <si>
    <t>ERP사업개발2팀</t>
  </si>
  <si>
    <t>이승현</t>
  </si>
  <si>
    <t>오성민</t>
  </si>
  <si>
    <t>김광원 외 13명</t>
  </si>
  <si>
    <t>ABAP</t>
  </si>
  <si>
    <t>Oracle 19C</t>
  </si>
  <si>
    <t>CTS</t>
  </si>
  <si>
    <t>PO</t>
  </si>
  <si>
    <t>SAP과 LEGACY 시스템간 인터페이스</t>
  </si>
  <si>
    <t>백새롬 외 2명</t>
  </si>
  <si>
    <t>0.5902:0.4098</t>
  </si>
  <si>
    <t>인력 Share : K-SOX, 박나리 M</t>
  </si>
  <si>
    <t>SAP Solman</t>
  </si>
  <si>
    <t>안용주 외 2명</t>
  </si>
  <si>
    <t>MAX DB</t>
  </si>
  <si>
    <t>M365</t>
    <phoneticPr fontId="1" type="noConversion"/>
  </si>
  <si>
    <t xml:space="preserve"> </t>
  </si>
  <si>
    <t>Digital Workplace서비스2팀</t>
  </si>
  <si>
    <t>정연</t>
  </si>
  <si>
    <t>홍원기</t>
  </si>
  <si>
    <t>she</t>
  </si>
  <si>
    <t>React (Fluent UI), SPFx</t>
  </si>
  <si>
    <t>C#</t>
  </si>
  <si>
    <t>.Net Core</t>
  </si>
  <si>
    <t>G/W</t>
    <phoneticPr fontId="1" type="noConversion"/>
  </si>
  <si>
    <t>그룹웨어 SKYNET_전사_공통</t>
  </si>
  <si>
    <t>[시스템 개요]
SK 케미컬의 Portal 시스템으로 전자결재, 게시판 외 기업 문화 관련 서비스 제공
[주요 기능]
1. Portal 기능 (케미컬에서 사용 중인 시스템들 접속 Link 제공을 통한 관문 시스템)
2. 전자결재, 게시판 관리
3. 플라즈마 이상 사례 프로세스 관리
4. RED (Review Sys. Of Advertisement) 프로세스 관리 (LS, 플라즈마, BS)</t>
  </si>
  <si>
    <t>이보람</t>
  </si>
  <si>
    <t>김영선/고현종</t>
  </si>
  <si>
    <t>Javascript ES2025</t>
  </si>
  <si>
    <t>jQuery 1.8.3 / Lotus Domino V10</t>
  </si>
  <si>
    <t>LotusScript 10 / Java 1.8 / Fomular 10</t>
  </si>
  <si>
    <t>Lotus Domino V10</t>
  </si>
  <si>
    <t>Notes Database (ODS53)</t>
  </si>
  <si>
    <t>Domino Designer 10</t>
  </si>
  <si>
    <t>Formula 10, LotusScript 10, Java 1.8</t>
  </si>
  <si>
    <t>MS Azure SSO 인증 변경 완료(2025.09.29)</t>
  </si>
  <si>
    <t>SKYNet RED</t>
    <phoneticPr fontId="1" type="noConversion"/>
  </si>
  <si>
    <t xml:space="preserve">[시스템 개요]
제품에 대한 광고, 홍보가 필요할 때 마케팅이나, 법무검토가 필요한 경우 사용하는 리뷰 시스템 </t>
  </si>
  <si>
    <t>현업부서 신규 솔루션 검토중 ( 의약정보팀 )</t>
  </si>
  <si>
    <t>SKYNet 불만처리시스템</t>
    <phoneticPr fontId="1" type="noConversion"/>
  </si>
  <si>
    <t>협업부서 신규 솔루션 검토중 ( 의약정보팀 )</t>
  </si>
  <si>
    <t>On-Premise/AWS</t>
    <phoneticPr fontId="1" type="noConversion"/>
  </si>
  <si>
    <t>DMZ/Server Farm</t>
    <phoneticPr fontId="1" type="noConversion"/>
  </si>
  <si>
    <t>WEB/CS/Mobile/기타</t>
    <phoneticPr fontId="1" type="noConversion"/>
  </si>
  <si>
    <t>No.</t>
    <phoneticPr fontId="4" type="noConversion"/>
  </si>
  <si>
    <t>담당자</t>
  </si>
  <si>
    <t>WEB/WAS</t>
    <phoneticPr fontId="1" type="noConversion"/>
  </si>
  <si>
    <t>DB</t>
    <phoneticPr fontId="1" type="noConversion"/>
  </si>
  <si>
    <t>비고</t>
    <phoneticPr fontId="1" type="noConversion"/>
  </si>
  <si>
    <t xml:space="preserve">시스템명 </t>
    <phoneticPr fontId="4" type="noConversion"/>
  </si>
  <si>
    <t>통합ITO</t>
  </si>
  <si>
    <t>협력</t>
  </si>
  <si>
    <t>사용여부</t>
    <phoneticPr fontId="1" type="noConversion"/>
  </si>
  <si>
    <t>개발/운영</t>
  </si>
  <si>
    <t>인프라 구분</t>
    <phoneticPr fontId="1" type="noConversion"/>
  </si>
  <si>
    <t>네트웍 구분</t>
    <phoneticPr fontId="1" type="noConversion"/>
  </si>
  <si>
    <t>플랫폼 구분</t>
    <phoneticPr fontId="1" type="noConversion"/>
  </si>
  <si>
    <t>WEB</t>
    <phoneticPr fontId="1" type="noConversion"/>
  </si>
  <si>
    <t>WAS</t>
    <phoneticPr fontId="1" type="noConversion"/>
  </si>
  <si>
    <t>Hostname</t>
    <phoneticPr fontId="1" type="noConversion"/>
  </si>
  <si>
    <t>IP</t>
    <phoneticPr fontId="1" type="noConversion"/>
  </si>
  <si>
    <t>Port</t>
  </si>
  <si>
    <t>OS</t>
    <phoneticPr fontId="1" type="noConversion"/>
  </si>
  <si>
    <t>URL</t>
  </si>
  <si>
    <t>위치</t>
  </si>
  <si>
    <t>SSL 도메인</t>
    <phoneticPr fontId="1" type="noConversion"/>
  </si>
  <si>
    <t>인증서 포맷</t>
    <phoneticPr fontId="1" type="noConversion"/>
  </si>
  <si>
    <t>DB Hostname</t>
    <phoneticPr fontId="1" type="noConversion"/>
  </si>
  <si>
    <t>DB IP</t>
    <phoneticPr fontId="1" type="noConversion"/>
  </si>
  <si>
    <t>DB Port</t>
    <phoneticPr fontId="1" type="noConversion"/>
  </si>
  <si>
    <t>DB명</t>
    <phoneticPr fontId="1" type="noConversion"/>
  </si>
  <si>
    <t>DBMS</t>
    <phoneticPr fontId="1" type="noConversion"/>
  </si>
  <si>
    <t>DB Size (GB, 26/1/2 조사)</t>
  </si>
  <si>
    <t>DB암호화</t>
    <phoneticPr fontId="1" type="noConversion"/>
  </si>
  <si>
    <t>비고1</t>
    <phoneticPr fontId="1" type="noConversion"/>
  </si>
  <si>
    <t>비고2</t>
    <phoneticPr fontId="1" type="noConversion"/>
  </si>
  <si>
    <t>운영</t>
  </si>
  <si>
    <t>On-Premise</t>
    <phoneticPr fontId="1" type="noConversion"/>
  </si>
  <si>
    <t>DMZ</t>
    <phoneticPr fontId="1" type="noConversion"/>
  </si>
  <si>
    <t>IIS 10</t>
  </si>
  <si>
    <t>C01VP-OCE-WEB1</t>
  </si>
  <si>
    <t>168.154.172.167</t>
  </si>
  <si>
    <t>Windows Server 2016 Standard</t>
  </si>
  <si>
    <t>https://apigw.skchemicals.com</t>
  </si>
  <si>
    <t>본사</t>
  </si>
  <si>
    <t>*.skchemicals.com</t>
  </si>
  <si>
    <t>PFX</t>
  </si>
  <si>
    <t>C01VP-IDB-DB</t>
  </si>
  <si>
    <t>10.247.243.23</t>
  </si>
  <si>
    <t>EHRGW</t>
  </si>
  <si>
    <t>TDE</t>
  </si>
  <si>
    <t>세일즈포스 OCE 연동 Gateway</t>
  </si>
  <si>
    <t>연결 DB정보 확인 필요 : C01VP-IDB-DB1(A), C01VP-IDB-DB2(S)</t>
  </si>
  <si>
    <t>개발</t>
  </si>
  <si>
    <t>Server Farm</t>
    <phoneticPr fontId="1" type="noConversion"/>
  </si>
  <si>
    <t>IIS 10</t>
    <phoneticPr fontId="1" type="noConversion"/>
  </si>
  <si>
    <t>C01VD-OCE-WEB1</t>
  </si>
  <si>
    <t>10.247.246.13</t>
  </si>
  <si>
    <t>Windows Server 2016 Standard</t>
    <phoneticPr fontId="1" type="noConversion"/>
  </si>
  <si>
    <t>https://dev-apigw.skchemicals.com</t>
  </si>
  <si>
    <t>C01VD-IDB-DB1</t>
  </si>
  <si>
    <t>10.247.246.27</t>
  </si>
  <si>
    <t>AWS</t>
    <phoneticPr fontId="1" type="noConversion"/>
  </si>
  <si>
    <t>Tomcat 9.0.91</t>
    <phoneticPr fontId="1" type="noConversion"/>
  </si>
  <si>
    <t>C31CP-MDM-AP1</t>
  </si>
  <si>
    <t>10.247.220.14</t>
  </si>
  <si>
    <t>Windows Server 2019 Standard</t>
  </si>
  <si>
    <t>https://mdm.skchemicals.com/</t>
  </si>
  <si>
    <t>JKS</t>
  </si>
  <si>
    <t>C31CP-MDIS-DB2</t>
  </si>
  <si>
    <t>10.247.220.149</t>
  </si>
  <si>
    <t>MDM</t>
  </si>
  <si>
    <t>C31CP-MDM-AP2</t>
  </si>
  <si>
    <t>10.247.220.114</t>
  </si>
  <si>
    <t>SSL 인증서 설치 여부 확인 필요</t>
    <phoneticPr fontId="1" type="noConversion"/>
  </si>
  <si>
    <t>Mobile</t>
    <phoneticPr fontId="1" type="noConversion"/>
  </si>
  <si>
    <t>Apache 2.4.51</t>
  </si>
  <si>
    <t>C31CP-MDM-AP3</t>
  </si>
  <si>
    <t>10.247.220.16</t>
  </si>
  <si>
    <t>https://m-mdm.skchemicals.com/</t>
  </si>
  <si>
    <t>MDM 모바일 서비스 제공</t>
  </si>
  <si>
    <t>개발</t>
    <phoneticPr fontId="1" type="noConversion"/>
  </si>
  <si>
    <t>C31CD-MDM-AP1</t>
  </si>
  <si>
    <t>10.247.216.14</t>
  </si>
  <si>
    <t>https://mdm-dev.skchemicals.com/</t>
  </si>
  <si>
    <t>C31CD-MDIS-DB1</t>
    <phoneticPr fontId="1" type="noConversion"/>
  </si>
  <si>
    <t>10.247.216.152</t>
  </si>
  <si>
    <t>MDM_DEV</t>
  </si>
  <si>
    <t>RPA</t>
  </si>
  <si>
    <t>기타</t>
    <phoneticPr fontId="1" type="noConversion"/>
  </si>
  <si>
    <t>C33CP-RPA-AP1</t>
    <phoneticPr fontId="1" type="noConversion"/>
  </si>
  <si>
    <t>10.247.222.15</t>
  </si>
  <si>
    <t>Windows Server 2019 Datacenter (64-bit)</t>
  </si>
  <si>
    <t>https://rpa.skchemicals.com/</t>
  </si>
  <si>
    <t>PEM</t>
  </si>
  <si>
    <t>운영(통합 EC2 DB)</t>
  </si>
  <si>
    <t>C33CD-RPA-AP1</t>
  </si>
  <si>
    <t>10.247.217.15</t>
  </si>
  <si>
    <t>https://rpa-cd.skchemicals.com/</t>
  </si>
  <si>
    <t>C31CD-MDIS-DB1</t>
  </si>
  <si>
    <t>Httpd.exe (resin 3.0)</t>
  </si>
  <si>
    <t>C01VP-EHR-AP1</t>
    <phoneticPr fontId="1" type="noConversion"/>
  </si>
  <si>
    <t>10.247.241.58</t>
  </si>
  <si>
    <t>Windows Server 2003 Standard (32-bit)</t>
  </si>
  <si>
    <t>http://ehris.skchemicals.com</t>
  </si>
  <si>
    <t>비대상</t>
    <phoneticPr fontId="1" type="noConversion"/>
  </si>
  <si>
    <t>E01VP-HRMIS-DB1</t>
  </si>
  <si>
    <t>10.247.241.151</t>
  </si>
  <si>
    <t>5/11 or 5/18 10.247.243.53로 변경(대덕-&gt;판교로 이전)</t>
  </si>
  <si>
    <t>정보 확인 필요</t>
    <phoneticPr fontId="1" type="noConversion"/>
  </si>
  <si>
    <t>데이터레이크</t>
  </si>
  <si>
    <t>운영</t>
    <phoneticPr fontId="1" type="noConversion"/>
  </si>
  <si>
    <t>저장공간은 AWS S3</t>
  </si>
  <si>
    <t>데이터포털_태블로</t>
  </si>
  <si>
    <t>민석홍</t>
    <phoneticPr fontId="1" type="noConversion"/>
  </si>
  <si>
    <t>임정섭</t>
    <phoneticPr fontId="1" type="noConversion"/>
  </si>
  <si>
    <t>Apache</t>
    <phoneticPr fontId="1" type="noConversion"/>
  </si>
  <si>
    <t>C01VP-TBL-AP1</t>
    <phoneticPr fontId="1" type="noConversion"/>
  </si>
  <si>
    <t>10.247.241.118</t>
  </si>
  <si>
    <t>PostgreSQL</t>
  </si>
  <si>
    <t>데이터포털에서 연동하는 정보  태블로 삭제 필요, AP/DB서버</t>
    <phoneticPr fontId="1" type="noConversion"/>
  </si>
  <si>
    <t>Non-ITO</t>
  </si>
  <si>
    <t>nestjs 9.4.0/express 4.18.2</t>
  </si>
  <si>
    <t>C31CP-DATA-WEB1</t>
  </si>
  <si>
    <t>10.247.220.166</t>
  </si>
  <si>
    <t>Amazon Linux 2</t>
  </si>
  <si>
    <t>https://dtpl.skchemicals.com/main</t>
  </si>
  <si>
    <t>C31CP-DATA-DB1</t>
  </si>
  <si>
    <t>10.247.222.164</t>
  </si>
  <si>
    <t>dp</t>
  </si>
  <si>
    <t>MongoDB 5.0.24</t>
  </si>
  <si>
    <t>AWS EC2</t>
  </si>
  <si>
    <t>nestjs 9.4.0/express 4.18.2</t>
    <phoneticPr fontId="1" type="noConversion"/>
  </si>
  <si>
    <t>C31CD-DATA-WEB1</t>
    <phoneticPr fontId="1" type="noConversion"/>
  </si>
  <si>
    <t>10.247.216.170</t>
  </si>
  <si>
    <t>https://dtpl-dev.skchemicals.com/sk-login</t>
  </si>
  <si>
    <t>C31CD-DATA-DB1</t>
  </si>
  <si>
    <t>10.247.217.168</t>
  </si>
  <si>
    <t>Tomcat 9.0.70</t>
  </si>
  <si>
    <t>C01VP-DLM-WAS1</t>
  </si>
  <si>
    <t>10.247.241.96</t>
  </si>
  <si>
    <t>Ubuntu 22.04.4 LTS</t>
  </si>
  <si>
    <t>https://meta.skchemicals.com/dataware/login.action</t>
  </si>
  <si>
    <t>C01VP-DLM-DB1</t>
  </si>
  <si>
    <t>10.247.243.52</t>
  </si>
  <si>
    <t>dataware</t>
  </si>
  <si>
    <t>데이터포털 - 표준관리시스템(META)</t>
  </si>
  <si>
    <t>C01VD-DLM-WAS1</t>
  </si>
  <si>
    <t>10.247.246.72</t>
  </si>
  <si>
    <t>https://meta-dev.skchemicals.com/dataware/login.action</t>
  </si>
  <si>
    <t>C01VD-DLM-DB1</t>
  </si>
  <si>
    <t>10.247.246.73</t>
  </si>
  <si>
    <t>Tomcat 9.0.27</t>
  </si>
  <si>
    <t>C31CP-LPO-WEB1</t>
  </si>
  <si>
    <t>10.247.220.22</t>
  </si>
  <si>
    <t>Windows 10 Enterprise</t>
  </si>
  <si>
    <t>https://legal.skcemicals.com</t>
  </si>
  <si>
    <t>sk_chemicals_elms</t>
  </si>
  <si>
    <t>통합 EC2 DB</t>
  </si>
  <si>
    <t>DB Hostname 확인필요 : C31CP-MDIS-DB1</t>
    <phoneticPr fontId="1" type="noConversion"/>
  </si>
  <si>
    <t>C31CD-LPO-WEB1</t>
    <phoneticPr fontId="1" type="noConversion"/>
  </si>
  <si>
    <t>10.247.216.22</t>
  </si>
  <si>
    <t>https://dev-legal.skchemicals.com</t>
  </si>
  <si>
    <t>스마트오피스 서비스</t>
  </si>
  <si>
    <t>Apache 2.4.52</t>
  </si>
  <si>
    <t>Tomcat 8.5.75</t>
  </si>
  <si>
    <t>C33CP-FRC-AP1</t>
  </si>
  <si>
    <t>10.247.220.117</t>
  </si>
  <si>
    <t>https://smartoffice.skchemicals.com</t>
  </si>
  <si>
    <t>C31CP-SO-DB1</t>
  </si>
  <si>
    <t>skch-backbone-prod-rds-so-db01.chcdnqliroxp.ap-northeast-2.rds.amazonaws.com</t>
  </si>
  <si>
    <t>smartoffice</t>
  </si>
  <si>
    <t>MariaDB 10.6.18</t>
  </si>
  <si>
    <t>안면인식 솔루션 SAFR 플랫폼 : 해외 솔루션으로 업그레이드 불가
‘24년 보안진단 시에도 예외 처리 요청</t>
  </si>
  <si>
    <t>Apache 2.4.57</t>
  </si>
  <si>
    <t>Tomcat 9.0.109</t>
  </si>
  <si>
    <t>C33CP-SO-AP1</t>
  </si>
  <si>
    <t>10.247.220.4</t>
  </si>
  <si>
    <t>C33CP-SO-AP2</t>
  </si>
  <si>
    <t>10.247.222.82</t>
  </si>
  <si>
    <t>Tomcat 8.5.87</t>
  </si>
  <si>
    <t>C33CD-SO-AP1</t>
  </si>
  <si>
    <t>10.247.216.85</t>
  </si>
  <si>
    <t>https://smartoffice-test.skchemicals.com</t>
    <phoneticPr fontId="1" type="noConversion"/>
  </si>
  <si>
    <t>C31CD-SO-DB1</t>
  </si>
  <si>
    <t>skch-backbone-dev-rds-so-db01.cji5alpv69zu.ap-northeast-2.rds.amazonaws.com</t>
  </si>
  <si>
    <t>Tomcat 9.0.86</t>
    <phoneticPr fontId="1" type="noConversion"/>
  </si>
  <si>
    <t>C33CP-EHUB-WEB1</t>
  </si>
  <si>
    <t>10.247.220.31</t>
  </si>
  <si>
    <t xml:space="preserve">80/8090 </t>
  </si>
  <si>
    <t>https://edh.skchemicals.com</t>
  </si>
  <si>
    <t xml:space="preserve"> 10.247.220.149</t>
  </si>
  <si>
    <t>EDH</t>
  </si>
  <si>
    <t>C33CP-EHUB-WEB2</t>
  </si>
  <si>
    <t>10.247.222.97</t>
  </si>
  <si>
    <t>80/8090</t>
  </si>
  <si>
    <t>C33CD-EHUB-WEB1.SKYNET.HELP</t>
  </si>
  <si>
    <t>10.247.216.84</t>
  </si>
  <si>
    <t>https://edh-dev.skchemicals.com</t>
  </si>
  <si>
    <t>C33CP-CRM-WEB1</t>
  </si>
  <si>
    <t>10.247.222.11</t>
  </si>
  <si>
    <t>https://gccrm.skchemicals.com</t>
    <phoneticPr fontId="1" type="noConversion"/>
  </si>
  <si>
    <t>Connected2ND</t>
  </si>
  <si>
    <t>25년 2분기 이후 통합ITO 계약 종료</t>
    <phoneticPr fontId="1" type="noConversion"/>
  </si>
  <si>
    <t>C33CD-CRM-WEB1</t>
  </si>
  <si>
    <t>10.247.217.11</t>
  </si>
  <si>
    <t>https://gccrm-dev.skchemicals.com</t>
  </si>
  <si>
    <t>개발(통합 EC2 DB)</t>
  </si>
  <si>
    <t>EOS G/W</t>
  </si>
  <si>
    <t>C04VP-OCE-WEB1</t>
  </si>
  <si>
    <t>10.247.13.168</t>
  </si>
  <si>
    <t>https://eosgw.skchemicals.com</t>
  </si>
  <si>
    <t>청주</t>
  </si>
  <si>
    <t>EOS &lt;-&gt; LS-MIS, 인터페이스 GW (DB는 LS-MIS), 웹서비스를 통해 I/F처리</t>
  </si>
  <si>
    <t>C04VD-OCE-WEB1</t>
  </si>
  <si>
    <t>10.247.26.61</t>
  </si>
  <si>
    <t>https://eosgw-dev.skchemicals.com</t>
  </si>
  <si>
    <t>개발서버 (환경은 운영과 동일)</t>
  </si>
  <si>
    <t>Tomcat 9.0.43</t>
    <phoneticPr fontId="1" type="noConversion"/>
  </si>
  <si>
    <t>C04VP-SIRS-AP1</t>
  </si>
  <si>
    <t>10.247.15.123</t>
  </si>
  <si>
    <t>https://sirs.skchemicals.com</t>
  </si>
  <si>
    <t>C04VP-MDIS-DB2</t>
  </si>
  <si>
    <t>10.247.15.112</t>
  </si>
  <si>
    <t>SKSIRS</t>
  </si>
  <si>
    <t>이상 사례(안정성보고,SIRS)</t>
  </si>
  <si>
    <t>C04VD-SIRS-AP1</t>
  </si>
  <si>
    <t>10.247.26.60</t>
  </si>
  <si>
    <t>https://sirs-dev.skchemicals.com</t>
  </si>
  <si>
    <t>C04VD-MDIS-DB1</t>
    <phoneticPr fontId="1" type="noConversion"/>
  </si>
  <si>
    <t>10.247.26.100</t>
  </si>
  <si>
    <t>마케팅 허브 G/W</t>
  </si>
  <si>
    <t>N</t>
    <phoneticPr fontId="1" type="noConversion"/>
  </si>
  <si>
    <t>Tomcat 8.5.87</t>
    <phoneticPr fontId="1" type="noConversion"/>
  </si>
  <si>
    <t>SKCHEM-LSMTGW</t>
    <phoneticPr fontId="1" type="noConversion"/>
  </si>
  <si>
    <t>168.154.172.140</t>
  </si>
  <si>
    <t>Windows Server 2008 R2 (64-bit)</t>
  </si>
  <si>
    <t>https://lsmarketinghub.skchemicals.com</t>
  </si>
  <si>
    <t>사용안하는 서버( 서버EOS로 C31CP-SFE-WEB1로 이관됨)</t>
  </si>
  <si>
    <t>Tomcat 9.0.97</t>
  </si>
  <si>
    <t>C31CP-SFE-WEB1</t>
  </si>
  <si>
    <t>10.247.220.87</t>
  </si>
  <si>
    <t>Windows Server 2022 Datacenter</t>
  </si>
  <si>
    <t>운영 Relay Server (해당서버 경유하여 LSFE, BSFE, PSFE 이외 사이트 연결 해주는 역할) , DB 서버 없음</t>
  </si>
  <si>
    <t>Tomcat 9.0.97</t>
    <phoneticPr fontId="1" type="noConversion"/>
  </si>
  <si>
    <t>C31CD-SFE-WEB1</t>
  </si>
  <si>
    <t>10.247.216.94</t>
  </si>
  <si>
    <t>https://dev-lsmarketinghub.skchemicals.com</t>
  </si>
  <si>
    <t>Tomcat 7.0.104</t>
  </si>
  <si>
    <t>C04VP-SFE-WAS2</t>
    <phoneticPr fontId="1" type="noConversion"/>
  </si>
  <si>
    <t>10.247.15.43</t>
  </si>
  <si>
    <t>https://sfe.skchemicals.com</t>
  </si>
  <si>
    <t>비대상,MMIS는 SFE에 종속된 시스템으로 DB는 별도 없으며, MIS와 SOAP 통신</t>
  </si>
  <si>
    <t>Tomcat 7.0.67</t>
  </si>
  <si>
    <t>C04VD-SFE-WAS2</t>
    <phoneticPr fontId="1" type="noConversion"/>
  </si>
  <si>
    <t>10.247.26.56</t>
  </si>
  <si>
    <t>https://dev-sfe.skchemicals.com</t>
  </si>
  <si>
    <t>On-Premise</t>
  </si>
  <si>
    <t>CS</t>
    <phoneticPr fontId="1" type="noConversion"/>
  </si>
  <si>
    <t>E01VP-MIS-AP1</t>
  </si>
  <si>
    <t>10.247.241.229​</t>
  </si>
  <si>
    <t>Windows Server 2003 R2</t>
  </si>
  <si>
    <t>E01YP-HRMIS-DB1</t>
  </si>
  <si>
    <t>SKCHEM</t>
  </si>
  <si>
    <t>5/18 10.247.241.151로 변경(대덕-&gt;판교로 이전)</t>
  </si>
  <si>
    <t>SSL 인증서 설치 여부 확인 필요 = 설치필요없슴</t>
  </si>
  <si>
    <t>Tomcat 9.0.39</t>
  </si>
  <si>
    <t>C31CP-ESP-AP1</t>
  </si>
  <si>
    <t>10.247.220.25</t>
  </si>
  <si>
    <t>https://buyer.skyesp.co.kr/home/index.do</t>
  </si>
  <si>
    <t>*.skyesp.co.kr</t>
  </si>
  <si>
    <t>OPM</t>
  </si>
  <si>
    <t>C31CP-ESP-WAS1</t>
  </si>
  <si>
    <t>10.247.220.26</t>
  </si>
  <si>
    <t>https://www.skyesp.co.kr/home/index.do</t>
  </si>
  <si>
    <t>Apache 2.4.46</t>
  </si>
  <si>
    <t>C31CP-ESP-WEB1</t>
  </si>
  <si>
    <t>10.247.220.27</t>
  </si>
  <si>
    <t>C31CD-BID-WEB1</t>
  </si>
  <si>
    <t>10.247.216.19:53389</t>
  </si>
  <si>
    <t>https://devbuyer.skyesp.co.kr:8088/home/index.do</t>
  </si>
  <si>
    <t>https://dev.skyesp.co.kr:8088/home/index.do</t>
  </si>
  <si>
    <t>콜센터</t>
  </si>
  <si>
    <t>Tomcat 9.0.45</t>
    <phoneticPr fontId="1" type="noConversion"/>
  </si>
  <si>
    <t>C01VP-IPCC-AP1</t>
  </si>
  <si>
    <t>168.154.172.250</t>
  </si>
  <si>
    <t>https://ipcc.skchemicals.com</t>
  </si>
  <si>
    <t>C01VP-IDB-DB</t>
    <phoneticPr fontId="1" type="noConversion"/>
  </si>
  <si>
    <t>IPCC</t>
  </si>
  <si>
    <t>신)콜센터상담관리 운영</t>
  </si>
  <si>
    <t>Tomcat 9.0.45</t>
  </si>
  <si>
    <t>C01VD-IPCC-AP1</t>
  </si>
  <si>
    <t>10.247.246.250</t>
  </si>
  <si>
    <t>https://ipcc-dev.skchemicals.com</t>
  </si>
  <si>
    <t>IPCC_DEV</t>
  </si>
  <si>
    <t>신)콜센터상담관리 개발</t>
  </si>
  <si>
    <t>C04VP-MIS-WEB1</t>
  </si>
  <si>
    <t>10.247.15.40</t>
  </si>
  <si>
    <t>https://lsmis.skchemicals.com</t>
  </si>
  <si>
    <t>C04VP-MIS-DB1</t>
  </si>
  <si>
    <t>10.247.15.47</t>
  </si>
  <si>
    <t>SKPHARM</t>
  </si>
  <si>
    <t>LS Biz 마케팅 MIS(파마) - 운영</t>
  </si>
  <si>
    <t>C04VP-MIS-WEB2</t>
    <phoneticPr fontId="1" type="noConversion"/>
  </si>
  <si>
    <t>10.247.15.41</t>
  </si>
  <si>
    <t>C04VD-MIS-WEB3</t>
  </si>
  <si>
    <t>10.247.26.55</t>
  </si>
  <si>
    <t>https://lsmis_dev.skchemicals.com</t>
  </si>
  <si>
    <t>C04VD-MIS-DB1</t>
  </si>
  <si>
    <t>10.247.26.102</t>
  </si>
  <si>
    <t>PHARMDEV</t>
  </si>
  <si>
    <t>LS Biz 마케팅 MIS(파마) - 개발</t>
  </si>
  <si>
    <t>C04VP-SFE-WAS2</t>
  </si>
  <si>
    <t>https://sfe.skchemicals.com
https://asfe.skchemicals.com</t>
  </si>
  <si>
    <t>C04VP-MDIS-DB1</t>
  </si>
  <si>
    <t>10.247.15.110</t>
  </si>
  <si>
    <t>SKChemicals</t>
  </si>
  <si>
    <t>LSFE 운영 Web AP, 청주통합운영DB#1</t>
  </si>
  <si>
    <t>C04VD-SFE-WAS2</t>
  </si>
  <si>
    <t>https://dev-sfe.skchemicals.com
https://dev-asfe.skchemicals.com</t>
  </si>
  <si>
    <t>C04VD-MDIS-DB1</t>
  </si>
  <si>
    <t>Tomcat 7.0.104</t>
    <phoneticPr fontId="1" type="noConversion"/>
  </si>
  <si>
    <t>C01VP-SFE-WAS01</t>
    <phoneticPr fontId="1" type="noConversion"/>
  </si>
  <si>
    <t>168.154.160.73</t>
  </si>
  <si>
    <t>https://sfe.skplasma.com
https://asfe.skplasma.com</t>
  </si>
  <si>
    <t>C01VP-SFE-DB01</t>
  </si>
  <si>
    <t>168.154.160.105</t>
  </si>
  <si>
    <t>SKPlasma</t>
  </si>
  <si>
    <t>SFE 운영 MSSQL DB(SKChemicals, SKbioscience, SKPlasma 데이터베이스 사용)</t>
  </si>
  <si>
    <t>Tomcat 7.0.67</t>
    <phoneticPr fontId="1" type="noConversion"/>
  </si>
  <si>
    <t>C01VD-SFE-WAS1</t>
    <phoneticPr fontId="1" type="noConversion"/>
  </si>
  <si>
    <t>10.247.246.106</t>
  </si>
  <si>
    <t>https://dev-sfe.skplasma.com
https://dev-asfe.skplasma.com</t>
  </si>
  <si>
    <t>플라즈마 SFE, 이관 작업 예정</t>
  </si>
  <si>
    <t>DBMS : MSSQL 2019</t>
    <phoneticPr fontId="1" type="noConversion"/>
  </si>
  <si>
    <t>SK-PBAP1</t>
    <phoneticPr fontId="1" type="noConversion"/>
  </si>
  <si>
    <t>168.154.160.107</t>
  </si>
  <si>
    <t>SK-PBDB1</t>
  </si>
  <si>
    <t>168.154.160.108</t>
  </si>
  <si>
    <t>PBMKT</t>
  </si>
  <si>
    <t>Plasma ERP/MIS/구매 서버</t>
  </si>
  <si>
    <t>SKCHEM-PB</t>
  </si>
  <si>
    <t>168.154.160.184</t>
  </si>
  <si>
    <t>PBSDEV, ERPDEV</t>
  </si>
  <si>
    <t>플라즈마 MIS만 해당</t>
  </si>
  <si>
    <t>P01VP-IHS-HB1</t>
  </si>
  <si>
    <t>168.154.160.244</t>
  </si>
  <si>
    <t>inhouseplus</t>
  </si>
  <si>
    <t>플라즈마 In-House DB, 스케줄링</t>
  </si>
  <si>
    <t>C03VP-LUPD-AP1</t>
  </si>
  <si>
    <t>10.247.90.145</t>
  </si>
  <si>
    <t>Windows Server 2022 Standard</t>
  </si>
  <si>
    <t>http://lims-update.skchemicals.com</t>
  </si>
  <si>
    <t>울산</t>
  </si>
  <si>
    <t>엔티스LIMS/파마LIMS/플라즈마LIMS/플라즈마MIS가 동일 IIS사용(패치배포용)</t>
  </si>
  <si>
    <t>SK케미칼 매입통합</t>
  </si>
  <si>
    <t>C01VP-SBILL-AP1</t>
    <phoneticPr fontId="1" type="noConversion"/>
  </si>
  <si>
    <t>168.154.160.48</t>
  </si>
  <si>
    <t>SBMS_MS</t>
  </si>
  <si>
    <t>스마트빌(스크레핑) 서버</t>
  </si>
  <si>
    <t>C33CP-IAC-AP1</t>
    <phoneticPr fontId="1" type="noConversion"/>
  </si>
  <si>
    <t>10.247.222.16</t>
  </si>
  <si>
    <t>https://ksox.skchemicals.com/</t>
  </si>
  <si>
    <t xml:space="preserve">CIAC </t>
  </si>
  <si>
    <t>(케미칼) 서버 IP : 10.247.222.16, DB명 : CIAC / (디스커버리) 서버 IP : 10.247.222.17, DB명 : SKDISCOVERY_DATA_KSOX</t>
    <phoneticPr fontId="1" type="noConversion"/>
  </si>
  <si>
    <t>C33CD-IAC-AP1</t>
  </si>
  <si>
    <t>10.247.217.16</t>
  </si>
  <si>
    <t>https://ksox-dev.skdiscovery.com</t>
  </si>
  <si>
    <t>CIAC_DEV</t>
  </si>
  <si>
    <t>(케미칼) 서버 IP : 10.247.217.16, DB명 : CIAC_DEV / (디스커버리) 서버 IP : 10.247.217.17, DB명 : SKDISCOVERY_DATA_KSOX</t>
    <phoneticPr fontId="1" type="noConversion"/>
  </si>
  <si>
    <t>D33CP-IAC-AP1</t>
    <phoneticPr fontId="1" type="noConversion"/>
  </si>
  <si>
    <t>10.247.222.17</t>
  </si>
  <si>
    <t>SKDISCOVERY_DATA_KSOX</t>
  </si>
  <si>
    <t>디스커버리</t>
  </si>
  <si>
    <t>D33CD-IAC-AP1</t>
  </si>
  <si>
    <t>10.247.217.17</t>
  </si>
  <si>
    <t>Apache 2.4.53</t>
  </si>
  <si>
    <t>Tomcat 9.0.26</t>
  </si>
  <si>
    <t>C33CP-EXPP-WEB1</t>
  </si>
  <si>
    <t>10.247.222.23</t>
  </si>
  <si>
    <t>Windows Serveer 2019 Datacenter</t>
  </si>
  <si>
    <t>https://etam.skchemicals.com</t>
  </si>
  <si>
    <t>SKCEACCDB</t>
  </si>
  <si>
    <t>Tomcat 9.0.62</t>
  </si>
  <si>
    <t>C33CD-EXPP-WEB1</t>
  </si>
  <si>
    <t>10.247.217.23</t>
  </si>
  <si>
    <t>https://etam-dev.skchemicals.com</t>
  </si>
  <si>
    <t>SKCHEMDEV</t>
  </si>
  <si>
    <t>C33CP-EXPM-WEB1</t>
  </si>
  <si>
    <t>10.247.222.22</t>
  </si>
  <si>
    <t>https://metam.skchemicals.com</t>
  </si>
  <si>
    <t>모바일 운영(WEB서버)</t>
  </si>
  <si>
    <t>C33CD-EXPM-WEB1</t>
  </si>
  <si>
    <t>10.247.217.22</t>
  </si>
  <si>
    <t>https://metam-dev.skchemicals.com</t>
  </si>
  <si>
    <t>모바일 개발(WEB서버)</t>
  </si>
  <si>
    <t>비용정산 파투아</t>
  </si>
  <si>
    <t>C33CP-CCD-DB1</t>
  </si>
  <si>
    <t>10.247.222.24</t>
  </si>
  <si>
    <t>tmpVCCS, VCCSSME</t>
  </si>
  <si>
    <t>C33CP-EXPP_WEB1_WTS_AWS</t>
  </si>
  <si>
    <t>OfficeEDMS</t>
  </si>
  <si>
    <t>Tomcat 9.0.62</t>
    <phoneticPr fontId="1" type="noConversion"/>
  </si>
  <si>
    <t>C33CD-EXPP-WEB1_WTS_AWS</t>
  </si>
  <si>
    <t>OfficeEDM</t>
  </si>
  <si>
    <t>Apache 2.4.41</t>
  </si>
  <si>
    <t>Tomcat 9.0.22</t>
  </si>
  <si>
    <t>C31CP-ETA-WEB1</t>
  </si>
  <si>
    <t>10.247.216.23</t>
  </si>
  <si>
    <t>https://www.skyebill.com/</t>
  </si>
  <si>
    <t>SKCETAXDB</t>
  </si>
  <si>
    <t>Apache 2.4.54</t>
  </si>
  <si>
    <t>Tomcat 9.0.22</t>
    <phoneticPr fontId="1" type="noConversion"/>
  </si>
  <si>
    <t>C31CD-ETA-WEB1</t>
  </si>
  <si>
    <t>10.247.220.23</t>
  </si>
  <si>
    <t>https://dev.skyebill.com</t>
  </si>
  <si>
    <t>Apache 2.4.33</t>
  </si>
  <si>
    <t>Tomcat 9.0.78</t>
  </si>
  <si>
    <t>C33CP-MSDS-WEB1</t>
  </si>
  <si>
    <t>10.247.222.110</t>
  </si>
  <si>
    <t>8080,443</t>
  </si>
  <si>
    <t>https://gmsds.skchemicals.com</t>
  </si>
  <si>
    <t>CSC_DB</t>
  </si>
  <si>
    <t>C33CD-MSDS-WEB1</t>
  </si>
  <si>
    <t>10.247.216.123</t>
  </si>
  <si>
    <t>80,443</t>
  </si>
  <si>
    <t>https://gmsds-dev.skchemicals.com</t>
  </si>
  <si>
    <t>SKCHEM-IFRSN</t>
  </si>
  <si>
    <t>168.154.160.38</t>
  </si>
  <si>
    <t>C01PV-IDB-DB</t>
  </si>
  <si>
    <t>journal_new</t>
  </si>
  <si>
    <t>국제 회계 표준  디테일링시스템 웹서버, (구)디테일링 운영 DB 서버, '25년 4월 1일 서비스 종료 이후 BS에서만 사용중</t>
  </si>
  <si>
    <t>Apache 2.4.25</t>
  </si>
  <si>
    <t>C31CP-PAT-WEB1</t>
  </si>
  <si>
    <t>10.247.220.24</t>
  </si>
  <si>
    <t>https://epatent.skchemicals.com/</t>
  </si>
  <si>
    <t>SKChemicals_IP-Brain</t>
  </si>
  <si>
    <t>Apache 2.4.25</t>
    <phoneticPr fontId="1" type="noConversion"/>
  </si>
  <si>
    <t>C31CD-PAT-WEB1</t>
  </si>
  <si>
    <t>10.247.216.24</t>
  </si>
  <si>
    <t>https://dev-epatent.skchemicals.com/</t>
  </si>
  <si>
    <t>Tomcat 9.0.111</t>
  </si>
  <si>
    <t>C01VP-CMS-AP1</t>
  </si>
  <si>
    <t>10.247.241.219</t>
  </si>
  <si>
    <t>https://cms.skchemicals.com</t>
  </si>
  <si>
    <t>CMS</t>
  </si>
  <si>
    <t>CMS(화학물질관리시스템)</t>
  </si>
  <si>
    <t>port 8080</t>
    <phoneticPr fontId="1" type="noConversion"/>
  </si>
  <si>
    <t>C01VD-CMS-AP1</t>
  </si>
  <si>
    <t xml:space="preserve">10.247.246.44 </t>
  </si>
  <si>
    <t>https://cms-dev.skchemicals.com</t>
  </si>
  <si>
    <t>CMS_DEV</t>
  </si>
  <si>
    <t>C33CP-RPMS-AP1</t>
  </si>
  <si>
    <t>10.247.222.12</t>
  </si>
  <si>
    <t>https://rpmsplus.skchemicals.com</t>
  </si>
  <si>
    <t>GCRPMSP</t>
  </si>
  <si>
    <t>C33CD-RPMS-AP1</t>
  </si>
  <si>
    <t>10.247.217.12</t>
  </si>
  <si>
    <t>https://rpms-dev.skchemicals.com</t>
  </si>
  <si>
    <t>Plasma</t>
  </si>
  <si>
    <t>Nginx 1.27.1.2</t>
  </si>
  <si>
    <t>P01VP-SHE-AP1</t>
    <phoneticPr fontId="1" type="noConversion"/>
  </si>
  <si>
    <t>10.247.241.41</t>
  </si>
  <si>
    <t>https://pshe.skchemicals.com</t>
  </si>
  <si>
    <t>PSHE</t>
  </si>
  <si>
    <t>SK플라즈마 안동 SHE(임직원, 배치 서비스)</t>
  </si>
  <si>
    <t>SQL Mapper: MyBatis 3.5.11</t>
  </si>
  <si>
    <t>P01VD-SHE-AP1</t>
  </si>
  <si>
    <t>10.247.246.54</t>
  </si>
  <si>
    <t>https://dev-pshe.skchemicals.com</t>
  </si>
  <si>
    <t>PSHE_DEV</t>
  </si>
  <si>
    <t>SK플라즈마 안동 SHE(임직원, 배치 서비스) - 개발</t>
  </si>
  <si>
    <t>DMZ</t>
  </si>
  <si>
    <t>P01VP-SHE-AP2</t>
  </si>
  <si>
    <t>168.154.172.151</t>
  </si>
  <si>
    <t>https://pshe-partner.skchemicals.com</t>
  </si>
  <si>
    <t>SK플라즈마 안동 SHE(협력업체 서비스)</t>
  </si>
  <si>
    <t>P01VD-SHE-AP2</t>
  </si>
  <si>
    <t>10.247.246.55</t>
  </si>
  <si>
    <t>https://dev-pshe-partner.skchemicals.com</t>
  </si>
  <si>
    <t>SK플라즈마 안동 SHE(협력업체 서비스) - 개발</t>
  </si>
  <si>
    <t>Server Farm</t>
  </si>
  <si>
    <t>C04VP-SHE-AP1</t>
  </si>
  <si>
    <t>10.247.15.121</t>
  </si>
  <si>
    <t>https://cshe.skchemicals.com</t>
  </si>
  <si>
    <t>CSHE</t>
  </si>
  <si>
    <t>SK케미칼 SHE #1 청주(임직원, 배치 서비스)</t>
  </si>
  <si>
    <t>C04VD-SHE-AP1</t>
  </si>
  <si>
    <t>10.247.26.58</t>
  </si>
  <si>
    <t>https://dev-cshe.skchemicals.com</t>
  </si>
  <si>
    <t>CSHE_DEV</t>
  </si>
  <si>
    <t>SK케미칼 SHE #1 청주(임직원, 배치 서비스) - 개발</t>
  </si>
  <si>
    <t>C04VP-SHE-AP2</t>
  </si>
  <si>
    <t>10.247.13.166</t>
  </si>
  <si>
    <t>https://cshe-partner.skchemicals.com
https://cshem.skchemicals.com/admin/auth/login</t>
  </si>
  <si>
    <t>SK케미칼 SHE #2 청주(협력업체, 모바일 서비스)</t>
  </si>
  <si>
    <t>C04VD-SHE-AP2</t>
  </si>
  <si>
    <t>10.247.26.59</t>
  </si>
  <si>
    <t>https://dev-cshe-partner.skchemicals.com
https://dev-cshem.skchemicals.com/admin/auth/login</t>
  </si>
  <si>
    <t>SK케미칼 SHE #2 청주(협력업체, 모바일 서비스) - 개발</t>
  </si>
  <si>
    <t>SCM</t>
  </si>
  <si>
    <t>Tomcat 8.5.45</t>
  </si>
  <si>
    <t>C01VP-GSCM-AP1</t>
  </si>
  <si>
    <t>10.247.241.85</t>
  </si>
  <si>
    <t>https://gscm.skchemicals.com</t>
  </si>
  <si>
    <t>T3SMARTSCM_NEW</t>
  </si>
  <si>
    <t>SCM 프로젝트 ( 운영 )</t>
  </si>
  <si>
    <t>Tomcat 8.5.100</t>
  </si>
  <si>
    <t>C01VD-GSCM-AP1</t>
  </si>
  <si>
    <t>10.247.246.47</t>
  </si>
  <si>
    <t>https://gscm-dev.skchemicals.com</t>
  </si>
  <si>
    <t>SCM 프로젝트 ( 개발 )</t>
  </si>
  <si>
    <t>C01VP-SCM-AP1</t>
  </si>
  <si>
    <t>10.247.241.14</t>
  </si>
  <si>
    <t>기존 SCM 시스템 서비스 종료</t>
  </si>
  <si>
    <r>
      <rPr>
        <strike/>
        <sz val="10"/>
        <color rgb="FF000000"/>
        <rFont val="Calibri"/>
        <scheme val="minor"/>
      </rPr>
      <t>IIS와 MSSQL이 동일 서버에서 운영</t>
    </r>
    <r>
      <rPr>
        <sz val="10"/>
        <color rgb="FF000000"/>
        <rFont val="Calibri"/>
        <scheme val="minor"/>
      </rPr>
      <t xml:space="preserve">  IIS 전용 서버</t>
    </r>
  </si>
  <si>
    <t>SKCHEM-LIMS</t>
  </si>
  <si>
    <t>168.154.168.145</t>
  </si>
  <si>
    <t>SK_LIMSUCB</t>
  </si>
  <si>
    <r>
      <rPr>
        <strike/>
        <sz val="10"/>
        <color rgb="FF000000"/>
        <rFont val="Calibri"/>
        <scheme val="minor"/>
      </rPr>
      <t>IIS와 MSSQL이 동일 서버에서 운영</t>
    </r>
    <r>
      <rPr>
        <sz val="10"/>
        <color rgb="FF000000"/>
        <rFont val="Calibri"/>
        <scheme val="minor"/>
      </rPr>
      <t xml:space="preserve">  MSSQL 전용 서버</t>
    </r>
  </si>
  <si>
    <t>C04VP-LIMS-AP1</t>
  </si>
  <si>
    <t>10.247.15.61</t>
  </si>
  <si>
    <t>청주LIMS (구)LIMS 데이터 조회용
1. (I/F) 웹 서버
lims.skchemicals.com는 LS서비스 중단, BS만 사용</t>
  </si>
  <si>
    <t>CS</t>
  </si>
  <si>
    <t>ORADEV</t>
  </si>
  <si>
    <t>168.154.160.241</t>
  </si>
  <si>
    <t>과거 LS-MIS 개발 DB, 현재 미사용</t>
  </si>
  <si>
    <t>C04VP-MIS-DB2</t>
  </si>
  <si>
    <t>울산/본사(DB)</t>
  </si>
  <si>
    <t>PBSDEV</t>
  </si>
  <si>
    <t>미사용</t>
  </si>
  <si>
    <t>IIS 7.5</t>
  </si>
  <si>
    <t>SKCH-EDIPWEB1</t>
  </si>
  <si>
    <t>168.154.172.138</t>
  </si>
  <si>
    <t>https://ready-edi.skchemicals.com</t>
  </si>
  <si>
    <t>SKCH-EDIPDB1</t>
  </si>
  <si>
    <t>168.154.160.83</t>
  </si>
  <si>
    <t>readyedi
edicus
helpadapter
HelpRefund(유지보수해지)
HelpXML(유지보수 해지)</t>
  </si>
  <si>
    <t>Window server 2008 사용으로 IIS 업그레이드 불가</t>
  </si>
  <si>
    <t>C01VD-EDI-AP1</t>
  </si>
  <si>
    <t>168.154.160.215</t>
  </si>
  <si>
    <t>동일 host에 연결 DB만 다름</t>
    <phoneticPr fontId="1" type="noConversion"/>
  </si>
  <si>
    <t>C01VD-EDI-AP1</t>
    <phoneticPr fontId="1" type="noConversion"/>
  </si>
  <si>
    <t>readyedi
edicus</t>
  </si>
  <si>
    <t>C04VP-SCM-AP1</t>
  </si>
  <si>
    <t>10.247.15.74</t>
  </si>
  <si>
    <t>https://skyscm.skchemicals.com</t>
  </si>
  <si>
    <t>청주통합운영DB#1</t>
  </si>
  <si>
    <t>C04VD-SCM-AP1</t>
  </si>
  <si>
    <t>10.247.26.57</t>
  </si>
  <si>
    <t>https://skyscm-dev.skchemicals.com</t>
  </si>
  <si>
    <t>SKYSCM_DEV</t>
  </si>
  <si>
    <t>청주통합개발DB#1</t>
  </si>
  <si>
    <t>C04VP-WOS-AP1</t>
    <phoneticPr fontId="1" type="noConversion"/>
  </si>
  <si>
    <t>10.247.15.125</t>
  </si>
  <si>
    <t>Windows Server 2008 Standard</t>
  </si>
  <si>
    <t>SkySCM AP 미사용 서버</t>
  </si>
  <si>
    <t>C31CP-BID-AP1</t>
  </si>
  <si>
    <t>10.247.220.19</t>
  </si>
  <si>
    <t>https://buyer.skyebid.com</t>
  </si>
  <si>
    <t>*.skyebid.com</t>
  </si>
  <si>
    <t>ESS</t>
  </si>
  <si>
    <t>C31CP-BID-WAS1</t>
  </si>
  <si>
    <t>10.247.220.20</t>
  </si>
  <si>
    <t>https://www.skyebid.com/home/index.do (외부)</t>
  </si>
  <si>
    <t>C31CP-BID-WEB1</t>
  </si>
  <si>
    <t>10.247.220.21</t>
  </si>
  <si>
    <t>https://devbuyer.skyebid.com/home/index.do</t>
  </si>
  <si>
    <t>https://dev.skyebid.com/home/index.do</t>
  </si>
  <si>
    <t>RedHat Enterprise Linux 8.1</t>
  </si>
  <si>
    <t>C01VD-ERP-DB1</t>
  </si>
  <si>
    <t>10.247.243.38</t>
  </si>
  <si>
    <t>CED</t>
  </si>
  <si>
    <t>Oracle 19.9</t>
  </si>
  <si>
    <t>X</t>
  </si>
  <si>
    <t>ERP 개발 서버</t>
  </si>
  <si>
    <t>C01VP-ERP-DB1</t>
  </si>
  <si>
    <t>10.247.243.31</t>
  </si>
  <si>
    <t>CEP</t>
  </si>
  <si>
    <t>ERP 운영 #1</t>
  </si>
  <si>
    <t>C01VP-ERP-DB2</t>
  </si>
  <si>
    <t>10.247.243.32</t>
  </si>
  <si>
    <t>ERP 운영 #2</t>
  </si>
  <si>
    <t>QA</t>
    <phoneticPr fontId="1" type="noConversion"/>
  </si>
  <si>
    <t>C01VQ-ERP-DB1</t>
  </si>
  <si>
    <t>10.247.243.37</t>
  </si>
  <si>
    <t>CEQ</t>
  </si>
  <si>
    <t>ERP QA 서버</t>
  </si>
  <si>
    <t>C01VD-PI-DB1</t>
  </si>
  <si>
    <t>10.247.243.39</t>
  </si>
  <si>
    <t>CXD</t>
  </si>
  <si>
    <t>PO 개발 서버</t>
  </si>
  <si>
    <t>https://c01vp-pi-sap.skchemicals.com</t>
  </si>
  <si>
    <t>C01VP-PI-DB1</t>
  </si>
  <si>
    <t>10.247.243.41</t>
  </si>
  <si>
    <t>CXP</t>
  </si>
  <si>
    <t>PO 운영 #1</t>
  </si>
  <si>
    <t>C01VP-PI-DB2</t>
  </si>
  <si>
    <t>10.247.243.42</t>
  </si>
  <si>
    <t>PO 운영 #2</t>
  </si>
  <si>
    <t>C01VP-ERP-SM1</t>
  </si>
  <si>
    <t>168.154.160.99</t>
  </si>
  <si>
    <t>7200
7201
7202</t>
  </si>
  <si>
    <t>SDB</t>
  </si>
  <si>
    <t>SAP Solman 백업, 관제</t>
  </si>
  <si>
    <t>M365</t>
  </si>
  <si>
    <t>C01VP-AAD-CN1</t>
  </si>
  <si>
    <t>168.154.172.160</t>
  </si>
  <si>
    <t xml:space="preserve">M365 O365 포털 및 Azure 포털과 ID 통합 구성 </t>
  </si>
  <si>
    <t>C01VP-AAD-CN2</t>
  </si>
  <si>
    <t>168.154.172.161</t>
  </si>
  <si>
    <t>C01VP-EDG-AP1</t>
  </si>
  <si>
    <t>168.154.172.184</t>
  </si>
  <si>
    <t>https://edge1.skdiscovery.com</t>
    <phoneticPr fontId="1" type="noConversion"/>
  </si>
  <si>
    <t>PKCS#12</t>
  </si>
  <si>
    <t>M365 Exchange 2019 Edge #1  NAS WORKGROUP</t>
  </si>
  <si>
    <t>C01VP-EDG-AP2</t>
  </si>
  <si>
    <t>168.154.172.174</t>
  </si>
  <si>
    <t>https://edge2.skdiscovery.com</t>
    <phoneticPr fontId="1" type="noConversion"/>
  </si>
  <si>
    <t>M365 Exchange 2019 Edge #2  NAS WORKGROUP</t>
  </si>
  <si>
    <t>C01VP-LCM-AP1</t>
  </si>
  <si>
    <t>168.154.172.180</t>
  </si>
  <si>
    <t>https://o365m.skdiscovery.com</t>
    <phoneticPr fontId="1" type="noConversion"/>
  </si>
  <si>
    <t>LCM</t>
  </si>
  <si>
    <t>M365 License 관리 #1</t>
  </si>
  <si>
    <t>C01VP-LCM-AP2</t>
  </si>
  <si>
    <t>168.154.172.190</t>
  </si>
  <si>
    <t>M365 License 관리 #2</t>
  </si>
  <si>
    <t>C01VP-MBX-AP1</t>
  </si>
  <si>
    <t>10.247.241.202</t>
  </si>
  <si>
    <t>https://mail.skdiscovery.com</t>
    <phoneticPr fontId="1" type="noConversion"/>
  </si>
  <si>
    <t>M365 Exchange 2019 MBX #1</t>
  </si>
  <si>
    <t>C01VP-MBX-AP2</t>
  </si>
  <si>
    <t>10.247.241.203</t>
  </si>
  <si>
    <t>M365 Exchange 2019 MBX #2</t>
  </si>
  <si>
    <t>C01VP-MBX-AP3</t>
  </si>
  <si>
    <t>10.247.241.204</t>
  </si>
  <si>
    <t>M365 Exchange 2019 MBX #3</t>
  </si>
  <si>
    <t>C01VP-WAP-AP1</t>
  </si>
  <si>
    <t>168.154.172.186</t>
  </si>
  <si>
    <t>https://autodiscover.skdiscovery.com</t>
    <phoneticPr fontId="1" type="noConversion"/>
  </si>
  <si>
    <t>M365 Web Application Proxy #1 ARR WORKGROUP</t>
  </si>
  <si>
    <t>C01VP-WAP-AP2</t>
  </si>
  <si>
    <t>168.154.172.176</t>
  </si>
  <si>
    <t>M365 Web Application Proxy #2 ARR WORKGROUP</t>
  </si>
  <si>
    <t>C01VP-SCCM-DB1</t>
  </si>
  <si>
    <t>10.247.243.15</t>
  </si>
  <si>
    <t>M365 SCCM Site DB #1</t>
  </si>
  <si>
    <t>C01VP-SCCM-DB2</t>
  </si>
  <si>
    <t>10.247.243.16</t>
  </si>
  <si>
    <t>M365 SCCM Site DB #2</t>
  </si>
  <si>
    <t>C01VP-DAPC-AP1</t>
  </si>
  <si>
    <t>10.247.241.121</t>
  </si>
  <si>
    <t>https://app.mykm.co.kr</t>
  </si>
  <si>
    <t>*.mykm.co.kr</t>
  </si>
  <si>
    <t>기타</t>
  </si>
  <si>
    <t>C01VP-DAPC-AP1.Skynet.help</t>
  </si>
  <si>
    <t>NOTES</t>
  </si>
  <si>
    <t>그룹웨어(APP)</t>
  </si>
  <si>
    <t>운영(결재1)</t>
  </si>
  <si>
    <t>C01VP-DAPC-AP2</t>
  </si>
  <si>
    <t>10.247.241.122</t>
  </si>
  <si>
    <t>https://app-cls.mykm.co.kr</t>
  </si>
  <si>
    <t>C01VP-DAPC-AP2.Skynet.help</t>
  </si>
  <si>
    <t>그룹웨어(APP-CLS)</t>
  </si>
  <si>
    <t>운영(결재2)</t>
  </si>
  <si>
    <t>C01VP-DBSC-AP1</t>
  </si>
  <si>
    <t>10.247.241.124</t>
  </si>
  <si>
    <t>https://bbs.mykm.co.kr
https://bbs-cls.mykm.co.kr</t>
  </si>
  <si>
    <t>C01VP-DBSC-AP1.Skynet.help</t>
  </si>
  <si>
    <t>그룹웨어(BBS)</t>
  </si>
  <si>
    <t>운영(포털및게시1)</t>
  </si>
  <si>
    <t>C01VP-DBSC-AP2</t>
  </si>
  <si>
    <t>10.247.241.125</t>
  </si>
  <si>
    <t>https://bbs-cls.mykm.co.kr</t>
  </si>
  <si>
    <t>C01VP-DBSC-AP2.Skynet.help</t>
  </si>
  <si>
    <t>그룹웨어(BBS-CLS)</t>
  </si>
  <si>
    <t>운영(포털및게시2)</t>
  </si>
  <si>
    <t>C01VP-EAI-AP1</t>
  </si>
  <si>
    <t>10.247.241.127:53389</t>
  </si>
  <si>
    <t>https://gweai.mykm.co.kr</t>
  </si>
  <si>
    <t>C01VP-EAI-AP1.Skynet.help</t>
  </si>
  <si>
    <t>그룹웨어(EAI)</t>
  </si>
  <si>
    <t>운영(EAI)</t>
  </si>
  <si>
    <t>C01VP-ELAS-AP1</t>
  </si>
  <si>
    <t>10.247.241.128</t>
  </si>
  <si>
    <t>http://gwsearch.mykm.co.kr</t>
  </si>
  <si>
    <t>CO1VP-GPDF-AP1.Skynet.help</t>
  </si>
  <si>
    <t>10.247.241.126</t>
  </si>
  <si>
    <t>그룹웨어 Elastic Search, SSL 적용, 변환 전용 서버</t>
  </si>
  <si>
    <t>운영(PDF)</t>
  </si>
  <si>
    <t>C01VP-GPDF-AP1</t>
  </si>
  <si>
    <t>http://gwpdf.mykm.co.kr</t>
  </si>
  <si>
    <t>CO1VP-ELAS-AP1.Skynet.help</t>
  </si>
  <si>
    <t>그룹웨어 PDF Converter, SSL 적용, 검색 전용 서버</t>
  </si>
  <si>
    <t>운영(Elastic)</t>
  </si>
  <si>
    <t>C01VD-GAPP-AP1</t>
  </si>
  <si>
    <t>10.247.246.15</t>
  </si>
  <si>
    <t>http://app-dev.mykm.co.kr</t>
  </si>
  <si>
    <t>C01VD-GAPP-AP1.Skynet.help</t>
  </si>
  <si>
    <t>Lotus Notes 구축</t>
  </si>
  <si>
    <t>SKYNet 불만처리시스템 개발 공용</t>
    <phoneticPr fontId="1" type="noConversion"/>
  </si>
  <si>
    <t>C01VD-GBBS-AP1</t>
  </si>
  <si>
    <t>10.247.246.16</t>
  </si>
  <si>
    <t>http://bbs-dev.mykm.co.kr</t>
  </si>
  <si>
    <t>C01VD-GBBS-AP1.Skynet.help</t>
  </si>
  <si>
    <t>SKYNet RED 개발 공용</t>
    <phoneticPr fontId="1" type="noConversion"/>
  </si>
  <si>
    <t>SKYNet RED</t>
  </si>
  <si>
    <t>C01VP-DBSC-AP1</t>
    <phoneticPr fontId="1" type="noConversion"/>
  </si>
  <si>
    <t>http://www.mykm.co.kr/pilot/reviewsystem.nsf</t>
  </si>
  <si>
    <t>C01VP-DBSC-AP2</t>
    <phoneticPr fontId="1" type="noConversion"/>
  </si>
  <si>
    <t>SKYNet 불만처리시스템</t>
  </si>
  <si>
    <t>C01VP-DAPC-AP1</t>
    <phoneticPr fontId="1" type="noConversion"/>
  </si>
  <si>
    <t>http://gwapp.mykm.co.kr/km/claimsystem.nsf</t>
  </si>
  <si>
    <t>C01VP-DAPC-AP2</t>
    <phoneticPr fontId="1" type="noConversion"/>
  </si>
  <si>
    <t>구분</t>
    <phoneticPr fontId="1" type="noConversion"/>
  </si>
  <si>
    <t xml:space="preserve">고객사담당자 </t>
    <phoneticPr fontId="4" type="noConversion"/>
  </si>
  <si>
    <t xml:space="preserve">C&amp;C담당자 </t>
  </si>
  <si>
    <t>상주여부</t>
    <phoneticPr fontId="4" type="noConversion"/>
  </si>
  <si>
    <t>사번</t>
    <phoneticPr fontId="4" type="noConversion"/>
  </si>
  <si>
    <t>업체명</t>
    <phoneticPr fontId="1" type="noConversion"/>
  </si>
  <si>
    <t>메일주소</t>
    <phoneticPr fontId="4" type="noConversion"/>
  </si>
  <si>
    <t>외부메일주소</t>
    <phoneticPr fontId="4" type="noConversion"/>
  </si>
  <si>
    <t>경영지원</t>
    <phoneticPr fontId="1" type="noConversion"/>
  </si>
  <si>
    <t>상주</t>
  </si>
  <si>
    <t>I21026</t>
  </si>
  <si>
    <t>씨앤토트플러스</t>
  </si>
  <si>
    <t>010-2907-1408</t>
  </si>
  <si>
    <t>wonhyuckyu@partner.sk.com</t>
  </si>
  <si>
    <t>비상주</t>
  </si>
  <si>
    <t>I24501</t>
  </si>
  <si>
    <t>에델웨이</t>
  </si>
  <si>
    <t>010-8637-0074</t>
  </si>
  <si>
    <t>alswnsghd1234@partner.sk.com</t>
  </si>
  <si>
    <t>mjh@tobeway.com</t>
  </si>
  <si>
    <t>5/8 현행화(송효경 퇴사로 대체)</t>
  </si>
  <si>
    <t>I21079/I22361</t>
  </si>
  <si>
    <t>문경컨설팅/제이스랩</t>
  </si>
  <si>
    <t>010-5480-5049/010-4555-8783</t>
  </si>
  <si>
    <t>moonseok.c@partner.sk.com; myungki.89@partner.sk.com</t>
  </si>
  <si>
    <t>myungki@hotmail.com</t>
  </si>
  <si>
    <t>I23106/I23198</t>
  </si>
  <si>
    <t>아트만파트너스</t>
  </si>
  <si>
    <t>010-4818-3476</t>
  </si>
  <si>
    <t>ttttuo@partner.sk.com</t>
  </si>
  <si>
    <t>ttttuo@myatman.com</t>
  </si>
  <si>
    <t>UI/UX</t>
    <phoneticPr fontId="1" type="noConversion"/>
  </si>
  <si>
    <t>I21023/I24433</t>
  </si>
  <si>
    <t>엘리웍스</t>
  </si>
  <si>
    <t>010-2722-6946</t>
  </si>
  <si>
    <t>mirazzan@partner.sk.com</t>
  </si>
  <si>
    <t>mirazzan1004@naver.com</t>
  </si>
  <si>
    <t>I20607/I23957</t>
  </si>
  <si>
    <t>제이스랩</t>
  </si>
  <si>
    <t>010-3906-3063/010-3156-7763</t>
  </si>
  <si>
    <t>psslumber@partner.sk.com; crush0sun.11@partner.sk.com</t>
  </si>
  <si>
    <t>psslumber@gmail.com; crush0sun@naver.com</t>
  </si>
  <si>
    <t>I22455</t>
  </si>
  <si>
    <t>데이터다이나믹스</t>
  </si>
  <si>
    <t>010-8757-9520</t>
  </si>
  <si>
    <t>kmkyung.26@partner.sk.com</t>
  </si>
  <si>
    <t>kyumin.kyung@data-dynamics.io</t>
  </si>
  <si>
    <t>I24462</t>
  </si>
  <si>
    <t>010-5118-2520</t>
  </si>
  <si>
    <t>abonno.55@partner.sk.com</t>
  </si>
  <si>
    <t>abonno@naver.com</t>
  </si>
  <si>
    <t>데이터포털 유지보수</t>
    <phoneticPr fontId="1" type="noConversion"/>
  </si>
  <si>
    <t>법무포탈</t>
    <phoneticPr fontId="1" type="noConversion"/>
  </si>
  <si>
    <t>I24733</t>
  </si>
  <si>
    <t>버텍스아이디</t>
  </si>
  <si>
    <t>010-2770-2956</t>
  </si>
  <si>
    <t>ladkgus75.42@partner.sk.com</t>
  </si>
  <si>
    <t>rladkgus75@vertexid.com</t>
  </si>
  <si>
    <t>박지은에서 변경</t>
  </si>
  <si>
    <t>I23753</t>
  </si>
  <si>
    <t>동아피엠</t>
  </si>
  <si>
    <t>010-6568-3890</t>
  </si>
  <si>
    <t>summer3890@partner.sk.com</t>
  </si>
  <si>
    <t>summer@dongapm.com</t>
  </si>
  <si>
    <t>김우석에서 변경</t>
  </si>
  <si>
    <t>I23886</t>
  </si>
  <si>
    <t>넥스트나우</t>
  </si>
  <si>
    <t>010-9901-7193</t>
  </si>
  <si>
    <t>jh.han.22@partner.sk.com</t>
  </si>
  <si>
    <t>jh.han@nextnow.kr</t>
  </si>
  <si>
    <t>김보성에서 변경</t>
  </si>
  <si>
    <t>I21800</t>
  </si>
  <si>
    <t>NTSoft</t>
  </si>
  <si>
    <t>010-3070-2278</t>
  </si>
  <si>
    <t>ryur0205@partner.sk.com</t>
  </si>
  <si>
    <t>ryur0205@ntsoft.kr</t>
  </si>
  <si>
    <t>8/18 현행화(김은정 육아휴직으로 삭제)</t>
  </si>
  <si>
    <t>I20913</t>
  </si>
  <si>
    <t>리아연구소</t>
  </si>
  <si>
    <t>010-7177-0716</t>
  </si>
  <si>
    <t>dhpark0716@partner.sk.com</t>
  </si>
  <si>
    <t>dhpark@rialab.co.kr</t>
  </si>
  <si>
    <t>25년 2분기 이후 계약 종료</t>
  </si>
  <si>
    <t>I23957</t>
  </si>
  <si>
    <t>010-3156-7763</t>
  </si>
  <si>
    <t>crush0sun.11@partner.sk.com</t>
  </si>
  <si>
    <t>crush0sun@naver.com</t>
  </si>
  <si>
    <t>SIRS</t>
    <phoneticPr fontId="1" type="noConversion"/>
  </si>
  <si>
    <t>I22148</t>
  </si>
  <si>
    <t xml:space="preserve">010-8456-7946 </t>
  </si>
  <si>
    <t xml:space="preserve">hlkim7766@gmail.com </t>
  </si>
  <si>
    <t>hlkim12@partner.sk.com</t>
  </si>
  <si>
    <t>솔루션 유지보수(고객사 직계약)</t>
  </si>
  <si>
    <t>엔티스_MIS</t>
    <phoneticPr fontId="1" type="noConversion"/>
  </si>
  <si>
    <t>I00015</t>
  </si>
  <si>
    <t>010-5394-3985</t>
  </si>
  <si>
    <t>skchem.i00015@partner.sk.com</t>
  </si>
  <si>
    <t>ma8665@hanmail.net</t>
  </si>
  <si>
    <t>임가공포탈</t>
    <phoneticPr fontId="1" type="noConversion"/>
  </si>
  <si>
    <t>I21298</t>
  </si>
  <si>
    <t>이든와이즈</t>
  </si>
  <si>
    <t>010-3369-9305</t>
  </si>
  <si>
    <t>eskim@partner.sk.com</t>
  </si>
  <si>
    <t>eskim@idenwise.com</t>
  </si>
  <si>
    <t>파마 MIS</t>
    <phoneticPr fontId="1" type="noConversion"/>
  </si>
  <si>
    <t>파마 SFE</t>
    <phoneticPr fontId="1" type="noConversion"/>
  </si>
  <si>
    <t>플라즈마 SFE</t>
    <phoneticPr fontId="1" type="noConversion"/>
  </si>
  <si>
    <t>I24377</t>
  </si>
  <si>
    <t>010-9990-4875</t>
  </si>
  <si>
    <t>wy273.53@partner.sk.com</t>
  </si>
  <si>
    <t>wy273@naver.com</t>
  </si>
  <si>
    <t>I22236</t>
  </si>
  <si>
    <t>비즈니스온커뮤니케이션</t>
  </si>
  <si>
    <t>010-2015-5681</t>
  </si>
  <si>
    <t>sb-webjung0868.07@partner.sk.com</t>
  </si>
  <si>
    <t>webjung@businesson.co.kr</t>
  </si>
  <si>
    <t>내부통제시스템</t>
    <phoneticPr fontId="1" type="noConversion"/>
  </si>
  <si>
    <t>I23407/I23406</t>
  </si>
  <si>
    <t>아이티센</t>
  </si>
  <si>
    <t>02-580-6540/02-580-6539</t>
  </si>
  <si>
    <t>icm@itcen.com ; sykim1@itcen.com; yjhwang@itcen.com</t>
  </si>
  <si>
    <t>업무관련 메일은 icm@itcen.com 기술지원팀 공용메일로 전달 , 담당자는 2/17 현행화, 영업담당자 최혁준(010-4941-1296, hjchoi@itcen.com)</t>
  </si>
  <si>
    <t>I22733</t>
  </si>
  <si>
    <t>인사이트온</t>
  </si>
  <si>
    <t>010-6222-2580</t>
  </si>
  <si>
    <t>mj.kim.91@partner.sk.com</t>
  </si>
  <si>
    <t>minjun0620@gmail.com</t>
  </si>
  <si>
    <t>파투아</t>
  </si>
  <si>
    <t>070-7114-7364</t>
  </si>
  <si>
    <t>wooseon@patuah.com</t>
  </si>
  <si>
    <t>홍진우(070-7114-7341, spotlight88@patuah.com)에서 변경</t>
  </si>
  <si>
    <t>정찬준</t>
  </si>
  <si>
    <t>I21257</t>
  </si>
  <si>
    <t>우남소프트</t>
  </si>
  <si>
    <t>010-7177-3330</t>
  </si>
  <si>
    <t>lsmmoon@partner.sk.com</t>
  </si>
  <si>
    <t>jung1066@woonamsoft.com</t>
  </si>
  <si>
    <t>이상민(010-3211-2773, lsmmoon@woonamsoft.com)에서 변경</t>
  </si>
  <si>
    <t>전자세금계산서</t>
    <phoneticPr fontId="1" type="noConversion"/>
  </si>
  <si>
    <t>I24934/I21249</t>
  </si>
  <si>
    <t>이씨뱅크</t>
  </si>
  <si>
    <t>010-4027-7203/010-9979-7961</t>
  </si>
  <si>
    <t>k7203@ec-bank.net; yiga80@ec-bank.net</t>
  </si>
  <si>
    <t>26/2/27 현행화 (정 김학준 추가, 부 이기석)</t>
  </si>
  <si>
    <t>MSDS 서비스</t>
    <phoneticPr fontId="1" type="noConversion"/>
  </si>
  <si>
    <t>I22935</t>
  </si>
  <si>
    <t>켐토피아</t>
  </si>
  <si>
    <t>070-4361-3022</t>
  </si>
  <si>
    <t>eunjung.woo@chemtopia.net</t>
  </si>
  <si>
    <t>디테일링서비스</t>
    <phoneticPr fontId="1" type="noConversion"/>
  </si>
  <si>
    <t>I24830</t>
  </si>
  <si>
    <t>애니파이브</t>
  </si>
  <si>
    <t>010-7513-0768</t>
  </si>
  <si>
    <t>leedh.02@partner.sk.com</t>
  </si>
  <si>
    <t>leedh@anyfive.com</t>
  </si>
  <si>
    <t>25/11/17 김호연M→이대현M 변경</t>
  </si>
  <si>
    <t>화학연구소 CMS</t>
    <phoneticPr fontId="1" type="noConversion"/>
  </si>
  <si>
    <t>I22679</t>
  </si>
  <si>
    <t>되고시스템</t>
  </si>
  <si>
    <t>010-9878-3771</t>
  </si>
  <si>
    <t>hms8117@duegosystem.com</t>
  </si>
  <si>
    <t>7/15 운영자 변경('25년 7월 부)</t>
  </si>
  <si>
    <t>I21650</t>
  </si>
  <si>
    <t>자이오넥스</t>
  </si>
  <si>
    <t>010-2191-0533</t>
  </si>
  <si>
    <t>zionex5@partner.sk.com</t>
  </si>
  <si>
    <t>minah_yoo@zionex.com</t>
  </si>
  <si>
    <t>안동 SHE</t>
    <phoneticPr fontId="1" type="noConversion"/>
  </si>
  <si>
    <t>I23020</t>
  </si>
  <si>
    <t>010-6747-7445</t>
  </si>
  <si>
    <t>ljy7445@partner.sk.com</t>
  </si>
  <si>
    <t>grandline1@naver.com</t>
  </si>
  <si>
    <t>청주 SHE</t>
    <phoneticPr fontId="1" type="noConversion"/>
  </si>
  <si>
    <t>I24927</t>
  </si>
  <si>
    <t>010-8642-2554</t>
  </si>
  <si>
    <t>bongjin_choi.49@partner.sk.com</t>
  </si>
  <si>
    <t>bongjin_choi@zionex.com</t>
  </si>
  <si>
    <t>c</t>
  </si>
  <si>
    <t>I00015/I23957</t>
  </si>
  <si>
    <t>010-5394-3985/010-3156-7763</t>
  </si>
  <si>
    <t>skchem.i00015@partner.sk.com; crush0sun.11@partner.sk.com</t>
  </si>
  <si>
    <t>ma8665@hanmail.net; crush0sun@naver.com</t>
  </si>
  <si>
    <t>EDI</t>
    <phoneticPr fontId="1" type="noConversion"/>
  </si>
  <si>
    <t>I24416</t>
  </si>
  <si>
    <t>레디코리아</t>
  </si>
  <si>
    <t>010-3134-9370</t>
  </si>
  <si>
    <t>seulgi.choi.93@partner.sk.com</t>
  </si>
  <si>
    <t>seulgi.choi@wisetechglobal.com</t>
  </si>
  <si>
    <t>SKYSCM</t>
    <phoneticPr fontId="1" type="noConversion"/>
  </si>
  <si>
    <t>I20607</t>
  </si>
  <si>
    <t>010-3906-3063</t>
  </si>
  <si>
    <t>psslumber@partner.sk.com</t>
  </si>
  <si>
    <t>psslumber@gmail.com</t>
  </si>
  <si>
    <t>구매포탈</t>
    <phoneticPr fontId="1" type="noConversion"/>
  </si>
  <si>
    <t>I20526</t>
  </si>
  <si>
    <t>010-2685-1120</t>
  </si>
  <si>
    <t>v8pjh.29@partner.sk.com</t>
  </si>
  <si>
    <t>v8pjh@naver.com</t>
  </si>
  <si>
    <t>그룹웨어 SKYNET_전사_공통</t>
    <phoneticPr fontId="1" type="noConversion"/>
  </si>
  <si>
    <t>I10031/I22044</t>
  </si>
  <si>
    <t>010-3855-9084; 010-9414-8744</t>
  </si>
  <si>
    <t>kysno3@partner.sk.com; bemyace@partner.sk.com</t>
  </si>
  <si>
    <t>kysno3@naver.com; bemyace@naver.com</t>
  </si>
  <si>
    <t>전체</t>
    <phoneticPr fontId="1" type="noConversion"/>
  </si>
  <si>
    <t>전체 값복사</t>
    <phoneticPr fontId="1" type="noConversion"/>
  </si>
  <si>
    <t>wonhyuckyu@partner.sk.com; moonseok.c@partner.sk.com; myungki.89@partner.sk.com; psslumber@partner.sk.com; crush0sun.11@partner.sk.com; kmkyung.26@partner.sk.com; abonno.55@partner.sk.com; dhpark0716@partner.sk.com; crush0sun.11@partner.sk.com; hlkim12@partner.sk.com; skchem.i00015@partner.sk.com; wy273.53@partner.sk.com; mj.kim.91@partner.sk.com; zionex5@partner.sk.com; ljy7445@partner.sk.com; bongjin_choi.49@partner.sk.com; skchem.i00015@partner.sk.com; crush0sun.11@partner.sk.com; psslumber@partner.sk.com; v8pjh.29@partner.sk.com; kysno3@partner.sk.com; bemyace@partner.sk.com; mjh@tobeway.com; ttttuo@myatman.com; mirazzan1004@naver.com; rladkgus75@vertexid.com; summer@dongapm.com; jh.han@nextnow.kr; ryur0205@ntsoft.kr; eskim@idenwise.com; webjung@businesson.co.kr; icm@itcen.com ; sykim1@itcen.com; yjhwang@itcen.com; wooseon@patuah.com; jung1066@woonamsoft.com; k7203@ec-bank.net; yiga80@ec-bank.net; eunjung.woo@chemtopia.net; leedh@anyfive.com; hms8117@duegosystem.com; seulgi.choi@wisetechglobal.com</t>
  </si>
  <si>
    <t>상주_사내</t>
    <phoneticPr fontId="1" type="noConversion"/>
  </si>
  <si>
    <t>상주 값복사</t>
    <phoneticPr fontId="1" type="noConversion"/>
  </si>
  <si>
    <t>wonhyuckyu@partner.sk.com; moonseok.c@partner.sk.com; myungki.89@partner.sk.com; psslumber@partner.sk.com; crush0sun.11@partner.sk.com; kmkyung.26@partner.sk.com; abonno.55@partner.sk.com; crush0sun.11@partner.sk.com; hlkim12@partner.sk.com; skchem.i00015@partner.sk.com; v8pjh.29@partner.sk.com; wy273.53@partner.sk.com; mj.kim.91@partner.sk.com; zionex5@partner.sk.com; ljy7445@partner.sk.com; jisoo_kim@partner.sk.com; skchem.i00015@partner.sk.com; crush0sun.11@partner.sk.com; psslumber@partner.sk.com; kysno3@partner.sk.com; bemyace@partner.sk.com; ttttuo@myatman.com</t>
  </si>
  <si>
    <t>비상주</t>
    <phoneticPr fontId="1" type="noConversion"/>
  </si>
  <si>
    <t>비상주 값복사</t>
    <phoneticPr fontId="1" type="noConversion"/>
  </si>
  <si>
    <t>alswnsghd1234@naver.com; ttttuo@myatman.com; mirazzan1004@naver.com; jieunp974@vertexid.com; summer@dongapm.com; bs.kim@nextnow.kr; ryur0205@ntsoft.kr; eskim@idenwise.com; webjung@businesson.co.kr; sykim1@itcen.com; yjhwang@itcen.com; spotlight88@patuah.com; lsmmoon@woonamsoft.com; yiga80@ec-bank.net; eunjung.woo@chemtopia.net; hykim@anyfive.com; hms8117@duegosystem.com</t>
  </si>
  <si>
    <t>상주</t>
    <phoneticPr fontId="1" type="noConversion"/>
  </si>
  <si>
    <t>컴포넌트 유형</t>
  </si>
  <si>
    <t>라이선스</t>
  </si>
  <si>
    <t>설치방법</t>
  </si>
  <si>
    <t>내비게이션(메뉴, 내비게이션, 페이지, 탭 등)</t>
  </si>
  <si>
    <t>무료</t>
  </si>
  <si>
    <t>설치형</t>
  </si>
  <si>
    <t>입력 및 폼(웹에디터, 파일 업/다운로드, 검색, 날짜 피커 등)</t>
  </si>
  <si>
    <t>유료(영구)</t>
  </si>
  <si>
    <t>접속형</t>
  </si>
  <si>
    <t>컨테이너 및 레이아웃(모달, 다이알로그, 레이아웃 그리드 등)</t>
  </si>
  <si>
    <t>유료(구독)</t>
  </si>
  <si>
    <t>Portable(무설치)</t>
  </si>
  <si>
    <t>피드백 및 상태표시(로딩, 알림, 경고, 툴팁 등)</t>
  </si>
  <si>
    <t>데이터 표시(리포트, 차트, 그래프, 캘린더 등)</t>
  </si>
  <si>
    <t>기타(파일변환(PDF/이미지), 지도, 미디어(오디오/비디오 플레이어) 등)</t>
  </si>
  <si>
    <t>통신(FTP, SFTP, SCP등)</t>
  </si>
  <si>
    <t>No.</t>
  </si>
  <si>
    <t>소속</t>
  </si>
  <si>
    <t>회사</t>
  </si>
  <si>
    <t>이름</t>
  </si>
  <si>
    <t>상주/비상주</t>
  </si>
  <si>
    <t>정/부</t>
  </si>
  <si>
    <t>남</t>
  </si>
  <si>
    <t>여</t>
  </si>
  <si>
    <t>업무</t>
  </si>
  <si>
    <t>비고</t>
  </si>
  <si>
    <t>ICT(ITSecPrj)</t>
  </si>
  <si>
    <t>선양 GDC</t>
  </si>
  <si>
    <t>김흠철</t>
  </si>
  <si>
    <t>　</t>
  </si>
  <si>
    <t>ICT(ERP) 변경 검토</t>
  </si>
  <si>
    <t>ICT(DX)</t>
  </si>
  <si>
    <t>ICT(비상주) 변경 검토</t>
  </si>
  <si>
    <t>ICT(ERP)</t>
  </si>
  <si>
    <t>UNIR</t>
  </si>
  <si>
    <t>안용주</t>
  </si>
  <si>
    <t>에스퍼트</t>
  </si>
  <si>
    <t>김광원</t>
  </si>
  <si>
    <t>ERP(CO)</t>
  </si>
  <si>
    <t>김윤성</t>
  </si>
  <si>
    <t>ERP(FI/TR)</t>
  </si>
  <si>
    <t>김정민</t>
  </si>
  <si>
    <t>ERP(QM)</t>
  </si>
  <si>
    <t>김태형</t>
  </si>
  <si>
    <t>SAP PO</t>
  </si>
  <si>
    <t>문경빈</t>
  </si>
  <si>
    <t>박나리</t>
  </si>
  <si>
    <t>26년 비상주 전환</t>
  </si>
  <si>
    <t>박창석</t>
  </si>
  <si>
    <t>ERP(SD)</t>
  </si>
  <si>
    <t>백새롬</t>
  </si>
  <si>
    <t>백승민</t>
  </si>
  <si>
    <t>서창우</t>
  </si>
  <si>
    <t>윤라미</t>
  </si>
  <si>
    <t>ERP(MM)</t>
  </si>
  <si>
    <t>윤상훈</t>
  </si>
  <si>
    <t>이용남</t>
  </si>
  <si>
    <t>ERP(PP)</t>
  </si>
  <si>
    <t>이윤형</t>
  </si>
  <si>
    <t>장서율</t>
  </si>
  <si>
    <t>정윤준</t>
  </si>
  <si>
    <t>ICT(M365)</t>
  </si>
  <si>
    <t>SK AX</t>
  </si>
  <si>
    <t>최근창</t>
  </si>
  <si>
    <t>러닝잇</t>
  </si>
  <si>
    <t>조성호</t>
  </si>
  <si>
    <t>이텍커스</t>
  </si>
  <si>
    <t>김무진</t>
  </si>
  <si>
    <t>윤영진</t>
  </si>
  <si>
    <t>ICT(비상주)</t>
  </si>
  <si>
    <t>김소영</t>
  </si>
  <si>
    <t>정</t>
  </si>
  <si>
    <t>황영주</t>
  </si>
  <si>
    <t>부</t>
  </si>
  <si>
    <t>김학준</t>
  </si>
  <si>
    <t>이기석</t>
  </si>
  <si>
    <t>ICT(일반)</t>
  </si>
  <si>
    <t>문경컨설팅</t>
  </si>
  <si>
    <t>최문석</t>
  </si>
  <si>
    <t>PMO</t>
  </si>
  <si>
    <t>고현종</t>
  </si>
  <si>
    <t>김영선</t>
  </si>
  <si>
    <t>홍명기</t>
  </si>
  <si>
    <t>ICT(프로젝트)</t>
  </si>
  <si>
    <t>ICT(일반) 변경 검토</t>
  </si>
  <si>
    <t>ITO(SKCC)</t>
  </si>
  <si>
    <t>계정 없음</t>
  </si>
  <si>
    <t>대상/비대상</t>
  </si>
  <si>
    <t>조회용DB</t>
  </si>
  <si>
    <t>비대상</t>
  </si>
  <si>
    <t>통합 ITO 제외</t>
  </si>
  <si>
    <t>CIAC, SKDISCOVERY_DATA_KSOX</t>
  </si>
  <si>
    <t>SKCH-MISPDB1</t>
  </si>
  <si>
    <t>168.154.162.144</t>
  </si>
  <si>
    <t>조회용DB, 용량 확인 불가(DB서버 관리자 김순용M)</t>
  </si>
  <si>
    <t>readyedi, edicus, helpadapter, HelpRefund(유지보수해지), HelpXML(유지보수 해지)</t>
  </si>
  <si>
    <t>C01VP-DAPC-AP1.Skynet.help 등</t>
  </si>
  <si>
    <t>10.247.241.121 등</t>
  </si>
  <si>
    <t>시스템명</t>
    <phoneticPr fontId="1" type="noConversion"/>
  </si>
  <si>
    <t>컴포넌트/컨트롤 명</t>
    <phoneticPr fontId="1" type="noConversion"/>
  </si>
  <si>
    <t>버전</t>
  </si>
  <si>
    <t>출시년도</t>
  </si>
  <si>
    <t>EOS여부</t>
  </si>
  <si>
    <t>업데이트 지원 여부</t>
  </si>
  <si>
    <t>컴포넌트 유형</t>
    <phoneticPr fontId="1" type="noConversion"/>
  </si>
  <si>
    <t>사용 용도</t>
  </si>
  <si>
    <t>(구독 시) 갱신일</t>
  </si>
  <si>
    <t>운영자 (작성자)</t>
  </si>
  <si>
    <t>WinSCP</t>
  </si>
  <si>
    <t>5.21.2</t>
  </si>
  <si>
    <t>2022</t>
  </si>
  <si>
    <t>정책 없음</t>
  </si>
  <si>
    <t>관리대상 제외</t>
  </si>
  <si>
    <t>SFTP, SCP 및 FTP 전송 기능 제공</t>
  </si>
  <si>
    <t>ExtJS</t>
  </si>
  <si>
    <t>7.4.0.42</t>
  </si>
  <si>
    <t>2021</t>
  </si>
  <si>
    <t>라이선스 계약 기반</t>
  </si>
  <si>
    <t>데이터 조회, 파일업로드</t>
  </si>
  <si>
    <t>Crystal Report</t>
  </si>
  <si>
    <t>10.0</t>
  </si>
  <si>
    <t>2003</t>
  </si>
  <si>
    <t>EOS됨</t>
  </si>
  <si>
    <t>웹 리포트 제공</t>
  </si>
  <si>
    <t>Unidocs</t>
  </si>
  <si>
    <t>3.0.42.2</t>
  </si>
  <si>
    <t>정보 없음</t>
  </si>
  <si>
    <t>파일변환(PDF)</t>
  </si>
  <si>
    <t>Softcamp</t>
  </si>
  <si>
    <t>1.0</t>
  </si>
  <si>
    <t>DRM 해제</t>
  </si>
  <si>
    <t>CKEditor</t>
  </si>
  <si>
    <t>4.4.7</t>
  </si>
  <si>
    <t>2014</t>
  </si>
  <si>
    <t>웹 텍스트 에디터</t>
  </si>
  <si>
    <t>ZXing</t>
  </si>
  <si>
    <t>3.1.0</t>
  </si>
  <si>
    <t>QR/바코드 관리</t>
  </si>
  <si>
    <t>Easy UI</t>
  </si>
  <si>
    <t>1.9.4</t>
  </si>
  <si>
    <t>2020</t>
  </si>
  <si>
    <t>컨테이너 및 레이아웃</t>
  </si>
  <si>
    <t>IBSheet8</t>
  </si>
  <si>
    <t>8.1.0.3</t>
  </si>
  <si>
    <t>2023</t>
  </si>
  <si>
    <t>Grid 內 에서의 입, 출력 처리 용도(엑셀 형식의 입력)</t>
  </si>
  <si>
    <t>IBUpload</t>
  </si>
  <si>
    <t>7.3.0</t>
  </si>
  <si>
    <t>게시판에서 파일 업/다운로드 용도</t>
  </si>
  <si>
    <t>PAYPOP AOS</t>
  </si>
  <si>
    <t>2.3</t>
  </si>
  <si>
    <t>AOS 단말기 결제를 위한 결제 연동 프레임 워크 (이니시스 PG사)</t>
  </si>
  <si>
    <t>PAYPOP iOS</t>
  </si>
  <si>
    <t>1.7</t>
  </si>
  <si>
    <t>iOS 단말기 결제를 위한 결제 연동 프레임 워크 (이니시스 PG사)</t>
  </si>
  <si>
    <t>RealGrid</t>
  </si>
  <si>
    <t>1.1.37</t>
  </si>
  <si>
    <t>데이터 그리드, 트리 그리드 등 UI컴포넌트 제공</t>
  </si>
  <si>
    <t>4.16.0</t>
  </si>
  <si>
    <t>게시판, 공지사항, FAQ관리 화면에서 내용 입력 및 수정시 사용</t>
  </si>
  <si>
    <t>HighChart</t>
  </si>
  <si>
    <t>9.0.1</t>
  </si>
  <si>
    <t>업데이트 지원</t>
  </si>
  <si>
    <t>데이터 표시(차트, 그래프, 캘린더 등)</t>
  </si>
  <si>
    <t>UI에서 차트기능 제공</t>
  </si>
  <si>
    <t>Chart FX</t>
  </si>
  <si>
    <t>4.0</t>
  </si>
  <si>
    <t>2005</t>
  </si>
  <si>
    <t>FarPoint</t>
  </si>
  <si>
    <t>2.5.1</t>
  </si>
  <si>
    <t>INPPRO30</t>
  </si>
  <si>
    <t>3.0</t>
  </si>
  <si>
    <t>Infragistics</t>
  </si>
  <si>
    <t>5.1</t>
  </si>
  <si>
    <t>8.5</t>
  </si>
  <si>
    <t>2001</t>
  </si>
  <si>
    <t>1.1.34</t>
  </si>
  <si>
    <t>DEXT5</t>
  </si>
  <si>
    <t>3.5.14</t>
  </si>
  <si>
    <t>웹에디터</t>
  </si>
  <si>
    <t>만료</t>
  </si>
  <si>
    <t>4.9.2</t>
  </si>
  <si>
    <t>2017</t>
  </si>
  <si>
    <t>HZService</t>
  </si>
  <si>
    <t>클라이언트 사용자 시스템 사용 로그 기록용으로 사용</t>
  </si>
  <si>
    <t>Infragistics NetAdvantage for Windows Forms</t>
  </si>
  <si>
    <t>9.2</t>
  </si>
  <si>
    <t>2009</t>
  </si>
  <si>
    <t>4.0.3</t>
  </si>
  <si>
    <t>SFE, Analysis UI에서 차트기능 제공</t>
  </si>
  <si>
    <t>DHTMLX</t>
  </si>
  <si>
    <t>2012</t>
  </si>
  <si>
    <t>Analysis에서 데이터 그리드, 트리 그리드 등 UI컴포넌트 제공</t>
  </si>
  <si>
    <t>UltraWebGrid</t>
  </si>
  <si>
    <t>11.1</t>
  </si>
  <si>
    <t>2011</t>
  </si>
  <si>
    <t>컨테이너 및 레이아웃 (레이아웃 그리드)</t>
  </si>
  <si>
    <t>Echart</t>
  </si>
  <si>
    <t>4.0.4</t>
  </si>
  <si>
    <t>2018</t>
  </si>
  <si>
    <t>데이터 표시 (그래프)</t>
  </si>
  <si>
    <t>Spire.Pdf</t>
  </si>
  <si>
    <t>10.10.0.0</t>
  </si>
  <si>
    <t>기타(파일변환 PDF,이미지)</t>
  </si>
  <si>
    <t>1.1.31</t>
  </si>
  <si>
    <t>데이터 그리드</t>
  </si>
  <si>
    <t>4.22.1</t>
  </si>
  <si>
    <t>dTree</t>
  </si>
  <si>
    <t>UI에서 트리구조 제공</t>
  </si>
  <si>
    <t>nxTSDTI</t>
  </si>
  <si>
    <t>1.0.1.5</t>
  </si>
  <si>
    <t>전자세금계산서 전자서명 툴킷 솔루션</t>
  </si>
  <si>
    <t>Xicobill</t>
  </si>
  <si>
    <t>전자세금계산서 국세청 전송 솔루션</t>
  </si>
  <si>
    <t>DataTables</t>
  </si>
  <si>
    <t>1.10.21</t>
  </si>
  <si>
    <t>데이터 표시(테이블)</t>
  </si>
  <si>
    <t>목록 화면 테이블 출력(페이징/정렬/검색 등)</t>
  </si>
  <si>
    <t>Apache POI</t>
  </si>
  <si>
    <t>4.1.2</t>
  </si>
  <si>
    <t>2019</t>
  </si>
  <si>
    <t>기타(엑셀 처리/변환)</t>
  </si>
  <si>
    <t>MSDS 작성 내용을 기반으로 Excel 문서 생성</t>
  </si>
  <si>
    <t>Jasper Reports</t>
  </si>
  <si>
    <t>6.16.0</t>
  </si>
  <si>
    <t>기타(리포트/PDF 생성)</t>
  </si>
  <si>
    <t>MSDS 작성 내용을 기반으로 PDF 문서 생성</t>
  </si>
  <si>
    <t>iText PDF</t>
  </si>
  <si>
    <t>5.5.6</t>
  </si>
  <si>
    <t>PDF 문서 생성</t>
  </si>
  <si>
    <t>JasperReports</t>
  </si>
  <si>
    <t>5.1.0</t>
  </si>
  <si>
    <t>2013</t>
  </si>
  <si>
    <t>리포트 생성</t>
  </si>
  <si>
    <t>GoJS</t>
  </si>
  <si>
    <t>다이어그램 시각화</t>
  </si>
  <si>
    <t>T3DTM</t>
  </si>
  <si>
    <t>6.6</t>
  </si>
  <si>
    <t>2027.01.10</t>
  </si>
  <si>
    <t>T3Dashboard</t>
  </si>
  <si>
    <t>Aras Innovator</t>
  </si>
  <si>
    <t>12 SP9</t>
  </si>
  <si>
    <t>6.4.0</t>
  </si>
  <si>
    <t>PDF 리포트 파일 다운로드</t>
  </si>
  <si>
    <t>Enterprise</t>
  </si>
  <si>
    <t>UI Grid 컴포넌트 제공</t>
  </si>
  <si>
    <t>김지수</t>
  </si>
  <si>
    <t>RealGrid2</t>
  </si>
  <si>
    <t>RealGPivot</t>
  </si>
  <si>
    <t>UI 복합 Grid 컴포넌트 제공</t>
  </si>
  <si>
    <t>Chart.js</t>
  </si>
  <si>
    <t>3.9.1</t>
  </si>
  <si>
    <t>UI 차트 컴포넌트 제공</t>
  </si>
  <si>
    <t>Chart FX7 (Windows Forms)</t>
  </si>
  <si>
    <t>7.0</t>
  </si>
  <si>
    <t>2007</t>
  </si>
  <si>
    <t>FarPoint(Spread5)</t>
  </si>
  <si>
    <t>5.0</t>
  </si>
  <si>
    <t>jqgrid.js</t>
  </si>
  <si>
    <t>4.6.0</t>
  </si>
  <si>
    <t>SK Mail Standard Add-in Fileattach</t>
  </si>
  <si>
    <t>첨부파일 업로드 컨트롤</t>
  </si>
  <si>
    <t>UI 차트 컴포넌트 제공(조직도)</t>
  </si>
  <si>
    <t>Bootstrap</t>
  </si>
  <si>
    <t>4.3.1</t>
  </si>
  <si>
    <t>UI 라이브러리</t>
  </si>
  <si>
    <t>Microsoft Teams JavaScript SDK</t>
  </si>
  <si>
    <t>v2.x</t>
  </si>
  <si>
    <t>2025</t>
  </si>
  <si>
    <t>Teams 컨텍스트 API 제공 (사용자, 채널, 조직 정보 등)</t>
  </si>
  <si>
    <t>.NET Core</t>
  </si>
  <si>
    <t>3.1</t>
  </si>
  <si>
    <t>o365m 기본 컴포넌트</t>
  </si>
  <si>
    <t>Microsoft Entra Connector</t>
  </si>
  <si>
    <t>2.5.79.0</t>
  </si>
  <si>
    <t>AD=&gt;Azure AD Sync</t>
  </si>
  <si>
    <t>Namo CROSSEDITOR4 (Kr)</t>
  </si>
  <si>
    <t>4.6.0.26</t>
  </si>
  <si>
    <t>문서(게시판,결재등) 작성시 본문 웹에디터 (한국어)</t>
  </si>
  <si>
    <t>Namo CROSSEDITOR4 (Ch)</t>
  </si>
  <si>
    <t>문서(게시판,결재등) 작성시 본문 웹에디터 (중국어)</t>
  </si>
  <si>
    <t xml:space="preserve">ezPDFWorkFlow  </t>
  </si>
  <si>
    <t>3.5</t>
  </si>
  <si>
    <t xml:space="preserve">전자결재 문서를 PDF 파일로 변환 </t>
  </si>
  <si>
    <t>Elastic Search</t>
  </si>
  <si>
    <t>전자결재 완료 문서 Elastic 엔진으로 검색</t>
  </si>
  <si>
    <t>MimeExtention</t>
  </si>
  <si>
    <t>2.1.8.3</t>
  </si>
  <si>
    <t>Web Editor 문서 작성 시 Image 및 다양한 OLE Object를 이용한 문서 작성 가능</t>
  </si>
  <si>
    <t>File Upload Control</t>
  </si>
  <si>
    <t>C31CP-MDIS-DB2</t>
    <phoneticPr fontId="1" type="noConversion"/>
  </si>
  <si>
    <t>10.247.220.149</t>
    <phoneticPr fontId="1" type="noConversion"/>
  </si>
  <si>
    <t>통합 EC2 DB</t>
    <phoneticPr fontId="1" type="noConversion"/>
  </si>
  <si>
    <t>VIP</t>
    <phoneticPr fontId="1" type="noConversion"/>
  </si>
  <si>
    <t>Port</t>
    <phoneticPr fontId="1" type="noConversion"/>
  </si>
  <si>
    <t>SK-PBEXPPDB</t>
  </si>
  <si>
    <t>168.154.160.109</t>
  </si>
  <si>
    <t>Microsoft Windows Server 2008 R2 (64-bit)</t>
  </si>
  <si>
    <t>사내</t>
    <phoneticPr fontId="1" type="noConversion"/>
  </si>
  <si>
    <t>(미사용) Plasma 비용정산 / 전자결제 서버</t>
    <phoneticPr fontId="1" type="noConversion"/>
  </si>
  <si>
    <t>백새롬외 2명</t>
  </si>
  <si>
    <t>안용주외 2명</t>
  </si>
  <si>
    <t>김무진/윤영진/조성호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</si>
</sst>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rgb="FF000000"/>
      <name val="맑은 고딕"/>
      <family val="3"/>
      <charset val="129"/>
    </font>
    <font>
      <sz val="8"/>
      <name val="맑은 고딕"/>
      <family val="3"/>
      <charset val="129"/>
      <scheme val="minor"/>
    </font>
    <font>
      <b/>
      <sz val="10"/>
      <color theme="1"/>
      <name val="맑은 고딕"/>
      <family val="3"/>
      <charset val="129"/>
    </font>
    <font>
      <sz val="10"/>
      <color rgb="FF000000"/>
      <name val="맑은 고딕"/>
      <family val="3"/>
      <charset val="129"/>
      <scheme val="minor"/>
    </font>
    <font>
      <sz val="10"/>
      <color theme="1"/>
      <name val="맑은 고딕"/>
      <family val="3"/>
      <charset val="129"/>
    </font>
    <font>
      <sz val="10"/>
      <color rgb="FF000000"/>
      <name val="맑은 고딕"/>
      <family val="3"/>
      <charset val="129"/>
    </font>
    <font>
      <sz val="10"/>
      <color theme="1"/>
      <name val="맑은 고딕"/>
      <family val="2"/>
      <charset val="129"/>
      <scheme val="minor"/>
    </font>
    <font>
      <u/>
      <sz val="11"/>
      <color theme="10"/>
      <name val="맑은 고딕"/>
      <family val="2"/>
      <charset val="129"/>
      <scheme val="minor"/>
    </font>
    <font>
      <b/>
      <sz val="10"/>
      <color theme="1"/>
      <name val="맑은 고딕"/>
      <family val="3"/>
      <charset val="129"/>
      <scheme val="minor"/>
    </font>
    <font>
      <sz val="10"/>
      <color rgb="FFFF0000"/>
      <name val="맑은 고딕"/>
      <family val="3"/>
      <charset val="129"/>
      <scheme val="minor"/>
    </font>
    <font>
      <u/>
      <sz val="10"/>
      <color theme="10"/>
      <name val="맑은 고딕"/>
      <family val="3"/>
      <charset val="129"/>
      <scheme val="minor"/>
    </font>
    <font>
      <sz val="10"/>
      <color rgb="FF000000"/>
      <name val="맑은 고딕"/>
      <charset val="1"/>
    </font>
    <font>
      <sz val="10"/>
      <color rgb="FF000000"/>
      <name val="Calibri"/>
    </font>
    <font>
      <sz val="9"/>
      <color theme="1"/>
      <name val="맑은 고딕"/>
      <charset val="1"/>
    </font>
    <font>
      <sz val="9"/>
      <color theme="1"/>
      <name val="맑은 고딕"/>
      <family val="3"/>
      <charset val="129"/>
      <scheme val="minor"/>
    </font>
    <font>
      <sz val="10"/>
      <color rgb="FF000000"/>
      <name val="Times New Roman"/>
      <family val="1"/>
      <charset val="1"/>
    </font>
    <font>
      <sz val="10"/>
      <color theme="1"/>
      <name val="Times New Roman"/>
      <family val="1"/>
      <charset val="1"/>
    </font>
    <font>
      <u/>
      <sz val="10"/>
      <color rgb="FF000000"/>
      <name val="맑은 고딕"/>
      <family val="2"/>
      <charset val="129"/>
      <scheme val="minor"/>
    </font>
    <font>
      <b/>
      <sz val="10"/>
      <color rgb="FF000000"/>
      <name val="맑은 고딕"/>
      <family val="3"/>
    </font>
    <font>
      <sz val="11"/>
      <color rgb="FF000000"/>
      <name val="맑은 고딕"/>
      <charset val="1"/>
    </font>
    <font>
      <strike/>
      <sz val="10"/>
      <color rgb="FF000000"/>
      <name val="Calibri"/>
      <scheme val="minor"/>
    </font>
    <font>
      <sz val="10"/>
      <color rgb="FF000000"/>
      <name val="Calibri"/>
      <scheme val="minor"/>
    </font>
    <font>
      <sz val="10"/>
      <color rgb="FF000000"/>
      <name val="맑은 고딕"/>
    </font>
    <font>
      <sz val="10"/>
      <color theme="10"/>
      <name val="맑은 고딕"/>
      <family val="2"/>
      <charset val="129"/>
      <scheme val="minor"/>
    </font>
  </fonts>
  <fills count="16">
    <fill>
      <patternFill patternType="none"/>
    </fill>
    <fill>
      <patternFill patternType="gray125"/>
    </fill>
    <fill>
      <patternFill patternType="solid">
        <fgColor rgb="FFD9D9D9"/>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59999389629810485"/>
        <bgColor indexed="64"/>
      </patternFill>
    </fill>
    <fill>
      <patternFill patternType="solid">
        <fgColor rgb="FFFFFFFF"/>
        <bgColor indexed="64"/>
      </patternFill>
    </fill>
    <fill>
      <patternFill patternType="solid">
        <fgColor theme="9" tint="0.79998168889431442"/>
        <bgColor indexed="64"/>
      </patternFill>
    </fill>
    <fill>
      <patternFill patternType="solid">
        <fgColor rgb="FFD9D9D9"/>
        <bgColor rgb="FF000000"/>
      </patternFill>
    </fill>
    <fill>
      <patternFill patternType="solid">
        <fgColor rgb="FFFFFF00"/>
        <bgColor rgb="FF000000"/>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theme="0" tint="-0.499984740745262"/>
      </left>
      <right/>
      <top style="thin">
        <color theme="0" tint="-0.499984740745262"/>
      </top>
      <bottom style="thin">
        <color theme="0" tint="-0.499984740745262"/>
      </bottom>
      <diagonal/>
    </border>
    <border>
      <left/>
      <right style="thin">
        <color rgb="FF000000"/>
      </right>
      <top style="thin">
        <color rgb="FF000000"/>
      </top>
      <bottom style="thin">
        <color rgb="FF000000"/>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rgb="FF000000"/>
      </left>
      <right style="thin">
        <color rgb="FF000000"/>
      </right>
      <top style="thin">
        <color rgb="FF000000"/>
      </top>
      <bottom/>
      <diagonal/>
    </border>
    <border>
      <left style="thin">
        <color rgb="FF808080"/>
      </left>
      <right/>
      <top style="thin">
        <color rgb="FF808080"/>
      </top>
      <bottom style="thin">
        <color rgb="FF80808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265">
    <xf numFmtId="0" fontId="0" fillId="0" borderId="0" xfId="0">
      <alignment vertical="center"/>
    </xf>
    <xf numFmtId="0" fontId="2" fillId="0" borderId="0" xfId="0" applyFont="1" applyAlignment="1">
      <alignment horizontal="center"/>
    </xf>
    <xf numFmtId="0" fontId="2" fillId="0" borderId="2" xfId="0" applyFont="1" applyBorder="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lignment vertical="center"/>
    </xf>
    <xf numFmtId="0" fontId="3" fillId="2" borderId="1" xfId="0" applyFont="1" applyFill="1" applyBorder="1" applyAlignment="1">
      <alignment horizontal="center" vertical="center"/>
    </xf>
    <xf numFmtId="0" fontId="2" fillId="0" borderId="0" xfId="0" applyFont="1">
      <alignment vertical="center"/>
    </xf>
    <xf numFmtId="0" fontId="0" fillId="3" borderId="0" xfId="0" applyFill="1">
      <alignment vertical="center"/>
    </xf>
    <xf numFmtId="0" fontId="0" fillId="4" borderId="1" xfId="0" applyFill="1" applyBorder="1">
      <alignment vertical="center"/>
    </xf>
    <xf numFmtId="0" fontId="0" fillId="0" borderId="1" xfId="0" applyBorder="1">
      <alignment vertical="center"/>
    </xf>
    <xf numFmtId="0" fontId="0" fillId="3" borderId="1" xfId="0" applyFill="1" applyBorder="1">
      <alignment vertical="center"/>
    </xf>
    <xf numFmtId="0" fontId="9" fillId="0" borderId="0" xfId="0" applyFont="1">
      <alignment vertical="center"/>
    </xf>
    <xf numFmtId="0" fontId="2" fillId="4" borderId="0" xfId="0" applyFont="1" applyFill="1" applyAlignment="1">
      <alignment horizontal="center"/>
    </xf>
    <xf numFmtId="0" fontId="9" fillId="4" borderId="1" xfId="0" applyFont="1" applyFill="1" applyBorder="1" applyAlignment="1">
      <alignment horizontal="center" vertical="center"/>
    </xf>
    <xf numFmtId="0" fontId="3" fillId="4" borderId="6" xfId="0" applyFont="1" applyFill="1" applyBorder="1">
      <alignment vertical="center"/>
    </xf>
    <xf numFmtId="0" fontId="3" fillId="4" borderId="1" xfId="0" applyFont="1" applyFill="1" applyBorder="1">
      <alignment vertical="center"/>
    </xf>
    <xf numFmtId="0" fontId="2" fillId="0" borderId="0" xfId="0" applyFont="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left" vertical="top"/>
    </xf>
    <xf numFmtId="0" fontId="2" fillId="0" borderId="2" xfId="0" applyFont="1" applyBorder="1" applyAlignment="1">
      <alignment vertical="top"/>
    </xf>
    <xf numFmtId="0" fontId="2" fillId="0" borderId="2" xfId="0" applyFont="1" applyBorder="1" applyAlignment="1">
      <alignment horizontal="center" vertical="top" wrapText="1"/>
    </xf>
    <xf numFmtId="0" fontId="7" fillId="0" borderId="2" xfId="0" quotePrefix="1" applyFont="1" applyBorder="1" applyAlignment="1">
      <alignment horizontal="center" vertical="top"/>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0" fontId="2" fillId="0" borderId="2" xfId="0" applyFont="1" applyBorder="1" applyAlignment="1">
      <alignment vertical="top" wrapText="1"/>
    </xf>
    <xf numFmtId="0" fontId="2" fillId="0" borderId="2" xfId="0" applyFont="1" applyBorder="1" applyAlignment="1">
      <alignment horizontal="left" vertical="top" wrapText="1"/>
    </xf>
    <xf numFmtId="0" fontId="7" fillId="0" borderId="2" xfId="0" applyFont="1" applyBorder="1" applyAlignment="1">
      <alignment horizontal="center" vertical="top"/>
    </xf>
    <xf numFmtId="0" fontId="6" fillId="0" borderId="2"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7" borderId="0" xfId="0" applyFont="1" applyFill="1" applyAlignment="1">
      <alignment horizontal="center" vertical="top"/>
    </xf>
    <xf numFmtId="0" fontId="2" fillId="7" borderId="2" xfId="0" applyFont="1" applyFill="1" applyBorder="1" applyAlignment="1">
      <alignment horizontal="left" vertical="top"/>
    </xf>
    <xf numFmtId="0" fontId="2" fillId="7" borderId="2" xfId="0" applyFont="1" applyFill="1" applyBorder="1" applyAlignment="1">
      <alignment horizontal="center" vertical="top" wrapText="1"/>
    </xf>
    <xf numFmtId="0" fontId="2" fillId="7" borderId="2" xfId="0" applyFont="1" applyFill="1" applyBorder="1" applyAlignment="1">
      <alignment horizontal="center" vertical="top"/>
    </xf>
    <xf numFmtId="0" fontId="2" fillId="7" borderId="2" xfId="0" applyFont="1" applyFill="1" applyBorder="1" applyAlignment="1">
      <alignment vertical="top"/>
    </xf>
    <xf numFmtId="0" fontId="7" fillId="7" borderId="2" xfId="0" applyFont="1" applyFill="1" applyBorder="1" applyAlignment="1">
      <alignment horizontal="center" vertical="top" wrapText="1"/>
    </xf>
    <xf numFmtId="0" fontId="2" fillId="0" borderId="2" xfId="0" quotePrefix="1" applyFont="1" applyBorder="1" applyAlignment="1">
      <alignment horizontal="center" vertical="top"/>
    </xf>
    <xf numFmtId="0" fontId="2" fillId="8" borderId="2" xfId="0" applyFont="1" applyFill="1" applyBorder="1" applyAlignment="1">
      <alignment horizontal="center" vertical="top"/>
    </xf>
    <xf numFmtId="0" fontId="2" fillId="8" borderId="0" xfId="0" applyFont="1" applyFill="1" applyAlignment="1">
      <alignment horizontal="center" vertical="top"/>
    </xf>
    <xf numFmtId="0" fontId="2" fillId="8" borderId="2" xfId="0" applyFont="1" applyFill="1" applyBorder="1" applyAlignment="1">
      <alignment horizontal="left" vertical="top"/>
    </xf>
    <xf numFmtId="0" fontId="2" fillId="8" borderId="2" xfId="0" applyFont="1" applyFill="1" applyBorder="1" applyAlignment="1">
      <alignment horizontal="center" vertical="top" wrapText="1"/>
    </xf>
    <xf numFmtId="0" fontId="6" fillId="8" borderId="2" xfId="0" applyFont="1" applyFill="1" applyBorder="1" applyAlignment="1">
      <alignment horizontal="center" vertical="top" wrapText="1"/>
    </xf>
    <xf numFmtId="0" fontId="2" fillId="8" borderId="2" xfId="0" applyFont="1" applyFill="1" applyBorder="1" applyAlignment="1">
      <alignment horizontal="left" vertical="top" wrapText="1"/>
    </xf>
    <xf numFmtId="0" fontId="2" fillId="8" borderId="2" xfId="0" applyFont="1" applyFill="1" applyBorder="1" applyAlignment="1">
      <alignment vertical="top"/>
    </xf>
    <xf numFmtId="0" fontId="7" fillId="8" borderId="2" xfId="0" applyFont="1" applyFill="1" applyBorder="1" applyAlignment="1">
      <alignment horizontal="center" vertical="top" wrapText="1"/>
    </xf>
    <xf numFmtId="0" fontId="2" fillId="8" borderId="2" xfId="0" applyFont="1" applyFill="1" applyBorder="1" applyAlignment="1">
      <alignment vertical="top" wrapText="1"/>
    </xf>
    <xf numFmtId="0" fontId="7" fillId="8" borderId="2" xfId="0" applyFont="1" applyFill="1" applyBorder="1" applyAlignment="1">
      <alignment horizontal="center" vertical="top"/>
    </xf>
    <xf numFmtId="0" fontId="7" fillId="8"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9" borderId="2" xfId="0" applyFont="1" applyFill="1" applyBorder="1">
      <alignment vertical="center"/>
    </xf>
    <xf numFmtId="49" fontId="2" fillId="0" borderId="0" xfId="0" applyNumberFormat="1" applyFont="1">
      <alignment vertical="center"/>
    </xf>
    <xf numFmtId="0" fontId="3" fillId="4" borderId="2" xfId="0" applyFont="1" applyFill="1" applyBorder="1" applyAlignment="1">
      <alignment horizontal="center" vertical="center"/>
    </xf>
    <xf numFmtId="0" fontId="3" fillId="4" borderId="5" xfId="0" applyFont="1" applyFill="1" applyBorder="1" applyAlignment="1">
      <alignment horizontal="center" vertical="center"/>
    </xf>
    <xf numFmtId="0" fontId="11" fillId="4" borderId="5" xfId="0" applyFont="1" applyFill="1" applyBorder="1" applyAlignment="1">
      <alignment horizontal="center" vertical="center"/>
    </xf>
    <xf numFmtId="49" fontId="3" fillId="4" borderId="5" xfId="0" applyNumberFormat="1" applyFont="1" applyFill="1" applyBorder="1" applyAlignment="1">
      <alignment horizontal="center" vertical="center"/>
    </xf>
    <xf numFmtId="0" fontId="9" fillId="9" borderId="1" xfId="0" applyFont="1" applyFill="1" applyBorder="1">
      <alignment vertical="center"/>
    </xf>
    <xf numFmtId="0" fontId="9" fillId="9" borderId="0" xfId="0" applyFont="1" applyFill="1">
      <alignment vertical="center"/>
    </xf>
    <xf numFmtId="0" fontId="9" fillId="0" borderId="1" xfId="0" applyFont="1" applyBorder="1">
      <alignment vertical="center"/>
    </xf>
    <xf numFmtId="0" fontId="6" fillId="0" borderId="2" xfId="0" applyFont="1" applyBorder="1">
      <alignment vertical="center"/>
    </xf>
    <xf numFmtId="0" fontId="2" fillId="0" borderId="2" xfId="0" quotePrefix="1" applyFont="1" applyBorder="1">
      <alignment vertical="center"/>
    </xf>
    <xf numFmtId="0" fontId="12" fillId="0" borderId="2" xfId="0" applyFont="1" applyBorder="1">
      <alignment vertical="center"/>
    </xf>
    <xf numFmtId="0" fontId="9" fillId="10" borderId="1" xfId="0" applyFont="1" applyFill="1" applyBorder="1">
      <alignment vertical="center"/>
    </xf>
    <xf numFmtId="0" fontId="2" fillId="10" borderId="2" xfId="0" applyFont="1" applyFill="1" applyBorder="1">
      <alignment vertical="center"/>
    </xf>
    <xf numFmtId="0" fontId="9" fillId="10" borderId="0" xfId="0" applyFont="1" applyFill="1">
      <alignment vertical="center"/>
    </xf>
    <xf numFmtId="0" fontId="2" fillId="10" borderId="0" xfId="0" applyFont="1" applyFill="1">
      <alignment vertical="center"/>
    </xf>
    <xf numFmtId="0" fontId="2" fillId="10" borderId="2" xfId="0" applyFont="1" applyFill="1" applyBorder="1" applyAlignment="1">
      <alignment vertical="top"/>
    </xf>
    <xf numFmtId="3" fontId="2" fillId="10" borderId="2" xfId="0" applyNumberFormat="1" applyFont="1" applyFill="1" applyBorder="1">
      <alignment vertical="center"/>
    </xf>
    <xf numFmtId="0" fontId="3" fillId="4" borderId="10"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4" borderId="1" xfId="0" applyFont="1" applyFill="1" applyBorder="1">
      <alignment vertical="center"/>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8" fillId="0" borderId="1" xfId="0" applyFont="1" applyBorder="1">
      <alignment vertical="center"/>
    </xf>
    <xf numFmtId="0" fontId="2" fillId="7" borderId="1" xfId="0" applyFont="1" applyFill="1" applyBorder="1">
      <alignment vertical="center"/>
    </xf>
    <xf numFmtId="0" fontId="2" fillId="7" borderId="1" xfId="0" applyFont="1" applyFill="1" applyBorder="1" applyAlignment="1">
      <alignment horizontal="left" vertical="center" wrapText="1"/>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0" fontId="2" fillId="5" borderId="0" xfId="0" applyFont="1" applyFill="1">
      <alignment vertical="center"/>
    </xf>
    <xf numFmtId="0" fontId="13" fillId="5" borderId="0" xfId="1" applyFont="1" applyFill="1">
      <alignment vertical="center"/>
    </xf>
    <xf numFmtId="0" fontId="10" fillId="5" borderId="0" xfId="1" applyFill="1">
      <alignment vertical="center"/>
    </xf>
    <xf numFmtId="0" fontId="10" fillId="0" borderId="0" xfId="1">
      <alignment vertical="center"/>
    </xf>
    <xf numFmtId="0" fontId="14" fillId="0" borderId="0" xfId="0" applyFont="1">
      <alignment vertical="center"/>
    </xf>
    <xf numFmtId="0" fontId="2" fillId="5" borderId="1" xfId="0" applyFont="1" applyFill="1" applyBorder="1" applyAlignment="1">
      <alignment horizontal="left" vertical="center"/>
    </xf>
    <xf numFmtId="0" fontId="8" fillId="5" borderId="11" xfId="0" applyFont="1" applyFill="1" applyBorder="1">
      <alignment vertical="center"/>
    </xf>
    <xf numFmtId="0" fontId="14" fillId="0" borderId="12" xfId="0" applyFont="1" applyBorder="1">
      <alignment vertical="center"/>
    </xf>
    <xf numFmtId="0" fontId="2" fillId="10" borderId="3" xfId="0" applyFont="1" applyFill="1" applyBorder="1">
      <alignment vertical="center"/>
    </xf>
    <xf numFmtId="0" fontId="2" fillId="10" borderId="5" xfId="0" applyFont="1" applyFill="1" applyBorder="1">
      <alignment vertical="center"/>
    </xf>
    <xf numFmtId="0" fontId="2" fillId="10" borderId="13" xfId="0" applyFont="1" applyFill="1" applyBorder="1">
      <alignment vertical="center"/>
    </xf>
    <xf numFmtId="0" fontId="2" fillId="0" borderId="12" xfId="0" applyFont="1" applyBorder="1" applyAlignment="1">
      <alignment horizontal="center" vertical="top"/>
    </xf>
    <xf numFmtId="0" fontId="2" fillId="8" borderId="12" xfId="0" applyFont="1" applyFill="1" applyBorder="1" applyAlignment="1">
      <alignment horizontal="center" vertical="top"/>
    </xf>
    <xf numFmtId="0" fontId="2" fillId="7" borderId="12" xfId="0" applyFont="1" applyFill="1" applyBorder="1" applyAlignment="1">
      <alignment horizontal="center" vertical="top"/>
    </xf>
    <xf numFmtId="0" fontId="2" fillId="8" borderId="13" xfId="0" applyFont="1" applyFill="1" applyBorder="1" applyAlignment="1">
      <alignment horizontal="left" vertical="top"/>
    </xf>
    <xf numFmtId="0" fontId="2" fillId="7" borderId="13" xfId="0" applyFont="1" applyFill="1" applyBorder="1" applyAlignment="1">
      <alignment horizontal="left" vertical="top"/>
    </xf>
    <xf numFmtId="0" fontId="2" fillId="0" borderId="13" xfId="0" applyFont="1" applyBorder="1" applyAlignment="1">
      <alignment horizontal="left" vertical="top"/>
    </xf>
    <xf numFmtId="0" fontId="3" fillId="6" borderId="3" xfId="0" applyFont="1" applyFill="1" applyBorder="1" applyAlignment="1">
      <alignment horizontal="center" vertical="center"/>
    </xf>
    <xf numFmtId="0" fontId="3" fillId="2" borderId="2" xfId="0" applyFont="1" applyFill="1" applyBorder="1">
      <alignment vertical="center"/>
    </xf>
    <xf numFmtId="0" fontId="2" fillId="0" borderId="2" xfId="0" applyFont="1" applyBorder="1" applyAlignment="1">
      <alignment vertical="center" wrapText="1"/>
    </xf>
    <xf numFmtId="0" fontId="2" fillId="10" borderId="2" xfId="0" applyFont="1" applyFill="1" applyBorder="1" applyAlignment="1">
      <alignment vertical="top" wrapText="1"/>
    </xf>
    <xf numFmtId="49" fontId="2" fillId="10" borderId="2" xfId="0" applyNumberFormat="1" applyFont="1" applyFill="1" applyBorder="1" applyAlignment="1">
      <alignment horizontal="right" vertical="center"/>
    </xf>
    <xf numFmtId="0" fontId="2" fillId="5" borderId="12" xfId="0" applyFont="1" applyFill="1" applyBorder="1" applyAlignment="1">
      <alignment horizontal="center" vertical="top"/>
    </xf>
    <xf numFmtId="0" fontId="5" fillId="2" borderId="2" xfId="0" applyFont="1" applyFill="1" applyBorder="1" applyAlignment="1">
      <alignment horizontal="center" vertical="center"/>
    </xf>
    <xf numFmtId="0" fontId="5" fillId="2" borderId="2" xfId="0" applyFont="1" applyFill="1" applyBorder="1">
      <alignment vertical="center"/>
    </xf>
    <xf numFmtId="0" fontId="5" fillId="2" borderId="2" xfId="0" applyFont="1" applyFill="1" applyBorder="1" applyAlignment="1">
      <alignment vertical="center" wrapText="1"/>
    </xf>
    <xf numFmtId="0" fontId="5" fillId="2" borderId="3" xfId="0" applyFont="1" applyFill="1" applyBorder="1" applyAlignment="1">
      <alignment horizontal="center" vertical="center" wrapText="1"/>
    </xf>
    <xf numFmtId="0" fontId="5" fillId="11" borderId="3" xfId="0" applyFont="1" applyFill="1" applyBorder="1" applyAlignment="1">
      <alignment vertical="center" wrapText="1"/>
    </xf>
    <xf numFmtId="0" fontId="2" fillId="5" borderId="2" xfId="0" applyFont="1" applyFill="1" applyBorder="1" applyAlignment="1">
      <alignment horizontal="center" vertical="top"/>
    </xf>
    <xf numFmtId="0" fontId="2" fillId="0" borderId="12" xfId="0" applyFont="1" applyBorder="1" applyAlignment="1">
      <alignment horizontal="left" vertical="top"/>
    </xf>
    <xf numFmtId="0" fontId="2" fillId="8" borderId="12" xfId="0" applyFont="1" applyFill="1" applyBorder="1" applyAlignment="1">
      <alignment horizontal="left" vertical="top"/>
    </xf>
    <xf numFmtId="0" fontId="2" fillId="7" borderId="12" xfId="0" applyFont="1" applyFill="1" applyBorder="1" applyAlignment="1">
      <alignment horizontal="left" vertical="top"/>
    </xf>
    <xf numFmtId="20" fontId="2" fillId="0" borderId="12" xfId="0" applyNumberFormat="1" applyFont="1" applyBorder="1" applyAlignment="1">
      <alignment horizontal="center" vertical="top"/>
    </xf>
    <xf numFmtId="0" fontId="3" fillId="6" borderId="3" xfId="0" applyFont="1" applyFill="1" applyBorder="1" applyAlignment="1">
      <alignment horizontal="center" vertical="center" wrapText="1"/>
    </xf>
    <xf numFmtId="0" fontId="16" fillId="0" borderId="0" xfId="0" applyFont="1">
      <alignment vertical="center"/>
    </xf>
    <xf numFmtId="0" fontId="2" fillId="10" borderId="12" xfId="0" applyFont="1" applyFill="1" applyBorder="1">
      <alignment vertical="center"/>
    </xf>
    <xf numFmtId="0" fontId="19" fillId="12" borderId="12" xfId="0" applyFont="1" applyFill="1" applyBorder="1">
      <alignment vertical="center"/>
    </xf>
    <xf numFmtId="0" fontId="18" fillId="12" borderId="12" xfId="0" applyFont="1" applyFill="1" applyBorder="1">
      <alignment vertical="center"/>
    </xf>
    <xf numFmtId="0" fontId="2" fillId="10" borderId="16" xfId="0" applyFont="1" applyFill="1" applyBorder="1">
      <alignment vertical="center"/>
    </xf>
    <xf numFmtId="0" fontId="2" fillId="5" borderId="2" xfId="0" applyFont="1" applyFill="1" applyBorder="1" applyAlignment="1">
      <alignment horizontal="center" vertical="top" wrapText="1"/>
    </xf>
    <xf numFmtId="0" fontId="3" fillId="4" borderId="12" xfId="0" applyFont="1" applyFill="1" applyBorder="1">
      <alignment vertical="center"/>
    </xf>
    <xf numFmtId="0" fontId="3" fillId="4" borderId="12" xfId="0" applyFont="1" applyFill="1" applyBorder="1" applyAlignment="1">
      <alignment horizontal="center" vertical="center"/>
    </xf>
    <xf numFmtId="0" fontId="11" fillId="4" borderId="12" xfId="0" applyFont="1" applyFill="1" applyBorder="1" applyAlignment="1">
      <alignment horizontal="center" vertical="center"/>
    </xf>
    <xf numFmtId="0" fontId="0" fillId="0" borderId="12" xfId="0" applyBorder="1">
      <alignment vertical="center"/>
    </xf>
    <xf numFmtId="0" fontId="2" fillId="0" borderId="12" xfId="0" applyFont="1" applyBorder="1">
      <alignment vertical="center"/>
    </xf>
    <xf numFmtId="0" fontId="6" fillId="0" borderId="12" xfId="0" applyFont="1" applyBorder="1">
      <alignment vertical="center"/>
    </xf>
    <xf numFmtId="0" fontId="16" fillId="0" borderId="12" xfId="0" applyFont="1" applyBorder="1" applyAlignment="1">
      <alignment horizontal="right" vertical="center"/>
    </xf>
    <xf numFmtId="0" fontId="17" fillId="10" borderId="12" xfId="0" applyFont="1" applyFill="1" applyBorder="1" applyAlignment="1">
      <alignment horizontal="right" vertical="center" wrapText="1"/>
    </xf>
    <xf numFmtId="0" fontId="2" fillId="5" borderId="2" xfId="0" applyFont="1" applyFill="1" applyBorder="1">
      <alignment vertical="center"/>
    </xf>
    <xf numFmtId="0" fontId="9" fillId="10" borderId="0" xfId="0" applyFont="1" applyFill="1" applyAlignment="1">
      <alignment vertical="center" wrapText="1"/>
    </xf>
    <xf numFmtId="0" fontId="2" fillId="5" borderId="13" xfId="0" applyFont="1" applyFill="1" applyBorder="1" applyAlignment="1">
      <alignment horizontal="left" vertical="top"/>
    </xf>
    <xf numFmtId="0" fontId="2" fillId="5" borderId="13" xfId="0" quotePrefix="1" applyFont="1" applyFill="1" applyBorder="1" applyAlignment="1">
      <alignment horizontal="left" vertical="top"/>
    </xf>
    <xf numFmtId="0" fontId="7" fillId="5" borderId="13" xfId="0" quotePrefix="1" applyFont="1" applyFill="1" applyBorder="1" applyAlignment="1">
      <alignment horizontal="left" vertical="top"/>
    </xf>
    <xf numFmtId="49" fontId="6" fillId="0" borderId="0" xfId="0" applyNumberFormat="1" applyFont="1">
      <alignment vertical="center"/>
    </xf>
    <xf numFmtId="0" fontId="6" fillId="0" borderId="0" xfId="0" applyFont="1" applyAlignment="1">
      <alignment horizontal="left" vertical="center"/>
    </xf>
    <xf numFmtId="0" fontId="9" fillId="5" borderId="1" xfId="0" applyFont="1" applyFill="1" applyBorder="1">
      <alignment vertical="center"/>
    </xf>
    <xf numFmtId="0" fontId="21" fillId="2" borderId="1" xfId="0" applyFont="1" applyFill="1" applyBorder="1" applyAlignment="1">
      <alignment horizontal="center" vertical="center"/>
    </xf>
    <xf numFmtId="0" fontId="5" fillId="6" borderId="2"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5" xfId="0" applyFont="1" applyFill="1" applyBorder="1" applyAlignment="1">
      <alignment horizontal="center" vertical="center"/>
    </xf>
    <xf numFmtId="0" fontId="11" fillId="6" borderId="5" xfId="0" applyFont="1" applyFill="1" applyBorder="1" applyAlignment="1">
      <alignment horizontal="center" vertical="center"/>
    </xf>
    <xf numFmtId="0" fontId="6" fillId="5" borderId="2" xfId="0" applyFont="1" applyFill="1" applyBorder="1">
      <alignment vertical="center"/>
    </xf>
    <xf numFmtId="0" fontId="9" fillId="5" borderId="0" xfId="0" applyFont="1" applyFill="1">
      <alignment vertical="center"/>
    </xf>
    <xf numFmtId="0" fontId="5" fillId="11" borderId="16" xfId="0" applyFont="1" applyFill="1" applyBorder="1" applyAlignment="1">
      <alignment horizontal="center" vertical="center" wrapText="1"/>
    </xf>
    <xf numFmtId="49" fontId="2" fillId="0" borderId="12" xfId="0" applyNumberFormat="1" applyFont="1" applyBorder="1">
      <alignment vertical="center"/>
    </xf>
    <xf numFmtId="0" fontId="2" fillId="5" borderId="12" xfId="0" applyFont="1" applyFill="1" applyBorder="1">
      <alignment vertical="center"/>
    </xf>
    <xf numFmtId="49" fontId="2" fillId="10" borderId="12" xfId="0" applyNumberFormat="1" applyFont="1" applyFill="1" applyBorder="1">
      <alignment vertical="center"/>
    </xf>
    <xf numFmtId="0" fontId="2" fillId="0" borderId="12" xfId="0" applyFont="1" applyBorder="1" applyAlignment="1">
      <alignment vertical="center" wrapText="1"/>
    </xf>
    <xf numFmtId="0" fontId="9" fillId="0" borderId="12" xfId="0" applyFont="1" applyBorder="1">
      <alignment vertical="center"/>
    </xf>
    <xf numFmtId="49" fontId="2" fillId="9" borderId="12" xfId="0" applyNumberFormat="1" applyFont="1" applyFill="1" applyBorder="1">
      <alignment vertical="center"/>
    </xf>
    <xf numFmtId="0" fontId="2" fillId="0" borderId="13" xfId="0" applyFont="1" applyBorder="1">
      <alignment vertical="center"/>
    </xf>
    <xf numFmtId="0" fontId="2" fillId="5" borderId="13" xfId="0" applyFont="1" applyFill="1" applyBorder="1">
      <alignment vertical="center"/>
    </xf>
    <xf numFmtId="0" fontId="2" fillId="9" borderId="13" xfId="0" applyFont="1" applyFill="1" applyBorder="1">
      <alignment vertical="center"/>
    </xf>
    <xf numFmtId="0" fontId="2" fillId="0" borderId="16" xfId="0" applyFont="1" applyBorder="1">
      <alignment vertical="center"/>
    </xf>
    <xf numFmtId="49" fontId="2" fillId="0" borderId="16" xfId="0" applyNumberFormat="1" applyFont="1" applyBorder="1">
      <alignment vertical="center"/>
    </xf>
    <xf numFmtId="0" fontId="2" fillId="5" borderId="16" xfId="0" applyFont="1" applyFill="1" applyBorder="1">
      <alignment vertical="center"/>
    </xf>
    <xf numFmtId="0" fontId="10" fillId="0" borderId="16" xfId="1" applyBorder="1">
      <alignment vertical="center"/>
    </xf>
    <xf numFmtId="49" fontId="10" fillId="0" borderId="16" xfId="1" applyNumberFormat="1" applyBorder="1">
      <alignment vertical="center"/>
    </xf>
    <xf numFmtId="49" fontId="2" fillId="10" borderId="16" xfId="0" applyNumberFormat="1" applyFont="1" applyFill="1" applyBorder="1">
      <alignment vertical="center"/>
    </xf>
    <xf numFmtId="49" fontId="3" fillId="4" borderId="4" xfId="0" applyNumberFormat="1" applyFont="1" applyFill="1" applyBorder="1" applyAlignment="1">
      <alignment horizontal="center" vertical="center"/>
    </xf>
    <xf numFmtId="0" fontId="2" fillId="5" borderId="13" xfId="0" applyFont="1" applyFill="1" applyBorder="1" applyAlignment="1">
      <alignment vertical="center" wrapText="1"/>
    </xf>
    <xf numFmtId="0" fontId="2" fillId="10" borderId="17" xfId="0" applyFont="1" applyFill="1" applyBorder="1">
      <alignment vertical="center"/>
    </xf>
    <xf numFmtId="0" fontId="2" fillId="10" borderId="18" xfId="0" applyFont="1" applyFill="1" applyBorder="1">
      <alignment vertical="center"/>
    </xf>
    <xf numFmtId="0" fontId="2" fillId="10" borderId="15" xfId="0" applyFont="1" applyFill="1" applyBorder="1">
      <alignment vertical="center"/>
    </xf>
    <xf numFmtId="0" fontId="17" fillId="10" borderId="5" xfId="0" applyFont="1" applyFill="1" applyBorder="1" applyAlignment="1">
      <alignment horizontal="right" vertical="center" wrapText="1"/>
    </xf>
    <xf numFmtId="0" fontId="7" fillId="8" borderId="13" xfId="0" quotePrefix="1" applyFont="1" applyFill="1" applyBorder="1" applyAlignment="1">
      <alignment horizontal="left" vertical="top"/>
    </xf>
    <xf numFmtId="0" fontId="7" fillId="0" borderId="13" xfId="0" quotePrefix="1" applyFont="1" applyBorder="1" applyAlignment="1">
      <alignment horizontal="left" vertical="top"/>
    </xf>
    <xf numFmtId="0" fontId="7" fillId="5" borderId="2" xfId="0" quotePrefix="1" applyFont="1" applyFill="1" applyBorder="1" applyAlignment="1">
      <alignment horizontal="center" vertical="top"/>
    </xf>
    <xf numFmtId="0" fontId="2" fillId="0" borderId="2" xfId="0" applyFont="1" applyBorder="1" applyAlignment="1">
      <alignment horizontal="center" vertical="center"/>
    </xf>
    <xf numFmtId="0" fontId="2" fillId="5" borderId="2" xfId="0"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0" borderId="13" xfId="0" applyFont="1" applyFill="1" applyBorder="1" applyAlignment="1">
      <alignment horizontal="center" vertical="center"/>
    </xf>
    <xf numFmtId="0" fontId="15" fillId="5" borderId="2" xfId="0" applyFont="1" applyFill="1" applyBorder="1" applyAlignment="1">
      <alignment vertical="center" wrapText="1"/>
    </xf>
    <xf numFmtId="49" fontId="0" fillId="0" borderId="0" xfId="0" applyNumberFormat="1">
      <alignment vertical="center"/>
    </xf>
    <xf numFmtId="49" fontId="3" fillId="4" borderId="12" xfId="0" applyNumberFormat="1" applyFont="1" applyFill="1" applyBorder="1" applyAlignment="1">
      <alignment horizontal="center" vertical="center"/>
    </xf>
    <xf numFmtId="49" fontId="0" fillId="0" borderId="12" xfId="0" applyNumberFormat="1" applyBorder="1">
      <alignment vertical="center"/>
    </xf>
    <xf numFmtId="0" fontId="3" fillId="4" borderId="13" xfId="0" applyFont="1" applyFill="1" applyBorder="1" applyAlignment="1">
      <alignment horizontal="center" vertical="center"/>
    </xf>
    <xf numFmtId="0" fontId="0" fillId="0" borderId="19" xfId="0" applyBorder="1">
      <alignment vertical="center"/>
    </xf>
    <xf numFmtId="0" fontId="22" fillId="0" borderId="12" xfId="0" applyFont="1" applyBorder="1">
      <alignment vertical="center"/>
    </xf>
    <xf numFmtId="0" fontId="9" fillId="10" borderId="12" xfId="0" applyFont="1" applyFill="1" applyBorder="1" applyAlignment="1">
      <alignment horizontal="left" vertical="center"/>
    </xf>
    <xf numFmtId="0" fontId="21" fillId="4" borderId="12" xfId="0" applyFont="1" applyFill="1" applyBorder="1" applyAlignment="1">
      <alignment horizontal="left" vertical="center"/>
    </xf>
    <xf numFmtId="0" fontId="0" fillId="0" borderId="12" xfId="0" applyBorder="1" applyAlignment="1">
      <alignment horizontal="left" vertical="center"/>
    </xf>
    <xf numFmtId="0" fontId="0" fillId="0" borderId="0" xfId="0" applyAlignment="1">
      <alignment horizontal="left" vertical="center"/>
    </xf>
    <xf numFmtId="0" fontId="0" fillId="5" borderId="12" xfId="0" applyFill="1" applyBorder="1">
      <alignment vertical="center"/>
    </xf>
    <xf numFmtId="0" fontId="0" fillId="5" borderId="12" xfId="0" applyFill="1" applyBorder="1" applyAlignment="1">
      <alignment horizontal="left" vertical="center"/>
    </xf>
    <xf numFmtId="49" fontId="0" fillId="5" borderId="12" xfId="0" applyNumberFormat="1" applyFill="1" applyBorder="1">
      <alignment vertical="center"/>
    </xf>
    <xf numFmtId="0" fontId="22" fillId="5" borderId="12" xfId="0" applyFont="1" applyFill="1" applyBorder="1">
      <alignment vertical="center"/>
    </xf>
    <xf numFmtId="0" fontId="9" fillId="5" borderId="12" xfId="0" applyFont="1" applyFill="1" applyBorder="1" applyAlignment="1">
      <alignment horizontal="left" vertical="center"/>
    </xf>
    <xf numFmtId="0" fontId="0" fillId="5" borderId="0" xfId="0" applyFill="1">
      <alignment vertical="center"/>
    </xf>
    <xf numFmtId="0" fontId="24" fillId="10" borderId="2" xfId="0" applyFont="1" applyFill="1" applyBorder="1">
      <alignment vertical="center"/>
    </xf>
    <xf numFmtId="0" fontId="2" fillId="0" borderId="12" xfId="0" applyFont="1" applyBorder="1" applyAlignment="1">
      <alignment horizontal="left" vertical="center"/>
    </xf>
    <xf numFmtId="0" fontId="2" fillId="4" borderId="12" xfId="0" applyFont="1" applyFill="1" applyBorder="1" applyAlignment="1">
      <alignment horizontal="left" vertical="center"/>
    </xf>
    <xf numFmtId="0" fontId="2" fillId="0" borderId="12" xfId="0" quotePrefix="1" applyFont="1" applyBorder="1">
      <alignment vertical="center"/>
    </xf>
    <xf numFmtId="0" fontId="2" fillId="7" borderId="12" xfId="0" applyFont="1" applyFill="1" applyBorder="1" applyAlignment="1">
      <alignment horizontal="left" vertical="center"/>
    </xf>
    <xf numFmtId="0" fontId="2" fillId="0" borderId="12" xfId="0" applyFont="1" applyBorder="1" applyAlignment="1">
      <alignment horizontal="center"/>
    </xf>
    <xf numFmtId="0" fontId="6" fillId="0" borderId="12" xfId="0" applyFont="1" applyBorder="1" applyAlignment="1">
      <alignment horizontal="left" vertical="center"/>
    </xf>
    <xf numFmtId="0" fontId="20" fillId="0" borderId="12" xfId="1" applyFont="1" applyBorder="1">
      <alignment vertical="center"/>
    </xf>
    <xf numFmtId="0" fontId="2" fillId="0" borderId="7" xfId="0" applyFont="1" applyBorder="1" applyAlignment="1">
      <alignment horizontal="left" vertical="center"/>
    </xf>
    <xf numFmtId="0" fontId="2" fillId="4" borderId="7" xfId="0" applyFont="1" applyFill="1" applyBorder="1" applyAlignment="1">
      <alignment horizontal="left" vertical="center"/>
    </xf>
    <xf numFmtId="0" fontId="2" fillId="7" borderId="7" xfId="0" applyFont="1" applyFill="1" applyBorder="1" applyAlignment="1">
      <alignment horizontal="left" vertical="center"/>
    </xf>
    <xf numFmtId="0" fontId="8" fillId="5" borderId="20" xfId="0" applyFont="1" applyFill="1" applyBorder="1">
      <alignment vertical="center"/>
    </xf>
    <xf numFmtId="0" fontId="2" fillId="0" borderId="9" xfId="0" applyFont="1" applyBorder="1">
      <alignment vertical="center"/>
    </xf>
    <xf numFmtId="0" fontId="2" fillId="4" borderId="9" xfId="0" applyFont="1" applyFill="1" applyBorder="1">
      <alignment vertical="center"/>
    </xf>
    <xf numFmtId="0" fontId="7" fillId="0" borderId="9" xfId="0" quotePrefix="1" applyFont="1" applyBorder="1">
      <alignment vertical="center"/>
    </xf>
    <xf numFmtId="0" fontId="2" fillId="7" borderId="9" xfId="0" applyFont="1" applyFill="1" applyBorder="1">
      <alignment vertical="center"/>
    </xf>
    <xf numFmtId="0" fontId="3" fillId="2" borderId="6" xfId="0" applyFont="1" applyFill="1" applyBorder="1">
      <alignment vertical="center"/>
    </xf>
    <xf numFmtId="0" fontId="24" fillId="0" borderId="2" xfId="0" applyFont="1" applyBorder="1" applyAlignment="1">
      <alignment vertical="center" wrapText="1"/>
    </xf>
    <xf numFmtId="0" fontId="24" fillId="0" borderId="0" xfId="0" applyFont="1" applyAlignment="1">
      <alignment vertical="center" wrapText="1"/>
    </xf>
    <xf numFmtId="0" fontId="24" fillId="10" borderId="2" xfId="0" applyFont="1" applyFill="1" applyBorder="1" applyAlignment="1">
      <alignment vertical="center" wrapText="1"/>
    </xf>
    <xf numFmtId="49" fontId="2" fillId="10" borderId="12" xfId="0" applyNumberFormat="1" applyFont="1" applyFill="1" applyBorder="1" applyAlignment="1">
      <alignment vertical="center" wrapText="1"/>
    </xf>
    <xf numFmtId="0" fontId="25" fillId="0" borderId="14" xfId="0" applyFont="1" applyBorder="1" applyAlignment="1">
      <alignment vertical="center" wrapText="1"/>
    </xf>
    <xf numFmtId="49" fontId="6" fillId="10" borderId="12" xfId="0" applyNumberFormat="1" applyFont="1" applyFill="1" applyBorder="1" applyAlignment="1">
      <alignment vertical="center" wrapText="1"/>
    </xf>
    <xf numFmtId="0" fontId="26" fillId="5" borderId="12" xfId="1" applyFont="1" applyFill="1" applyBorder="1">
      <alignment vertical="center"/>
    </xf>
    <xf numFmtId="0" fontId="2" fillId="10" borderId="21" xfId="0" applyFont="1" applyFill="1" applyBorder="1">
      <alignment vertical="center"/>
    </xf>
    <xf numFmtId="0" fontId="14" fillId="0" borderId="21" xfId="0" applyFont="1" applyBorder="1">
      <alignment vertical="center"/>
    </xf>
    <xf numFmtId="0" fontId="24" fillId="0" borderId="0" xfId="0" applyFont="1">
      <alignment vertical="center"/>
    </xf>
    <xf numFmtId="0" fontId="10" fillId="0" borderId="12" xfId="1" applyBorder="1">
      <alignment vertical="center"/>
    </xf>
    <xf numFmtId="0" fontId="2" fillId="0" borderId="13" xfId="0" applyFont="1" applyBorder="1" applyAlignment="1">
      <alignment horizontal="center" vertical="top"/>
    </xf>
    <xf numFmtId="0" fontId="2" fillId="8" borderId="13" xfId="0" applyFont="1" applyFill="1" applyBorder="1" applyAlignment="1">
      <alignment horizontal="center" vertical="top"/>
    </xf>
    <xf numFmtId="0" fontId="2" fillId="7" borderId="13" xfId="0" applyFont="1" applyFill="1" applyBorder="1" applyAlignment="1">
      <alignment horizontal="center" vertical="top"/>
    </xf>
    <xf numFmtId="0" fontId="21" fillId="2" borderId="2" xfId="0" applyFont="1" applyFill="1" applyBorder="1" applyAlignment="1">
      <alignment horizontal="center" vertical="center"/>
    </xf>
    <xf numFmtId="0" fontId="3" fillId="13" borderId="2" xfId="0" applyFont="1" applyFill="1" applyBorder="1" applyAlignment="1">
      <alignment horizontal="center" vertical="center"/>
    </xf>
    <xf numFmtId="0" fontId="10" fillId="0" borderId="12" xfId="1" applyBorder="1" applyAlignment="1">
      <alignment horizontal="left" vertical="center"/>
    </xf>
    <xf numFmtId="0" fontId="3" fillId="14" borderId="1" xfId="0" applyFont="1" applyFill="1" applyBorder="1" applyAlignment="1">
      <alignment horizontal="center" vertical="center"/>
    </xf>
    <xf numFmtId="0" fontId="3" fillId="14" borderId="9" xfId="0" applyFont="1" applyFill="1" applyBorder="1" applyAlignment="1">
      <alignment horizontal="center" vertical="center"/>
    </xf>
    <xf numFmtId="0" fontId="9" fillId="0" borderId="0" xfId="0" applyFont="1" applyAlignment="1">
      <alignment horizontal="center" vertical="center"/>
    </xf>
    <xf numFmtId="0" fontId="8" fillId="0" borderId="22" xfId="0" applyFont="1" applyBorder="1">
      <alignment vertical="center"/>
    </xf>
    <xf numFmtId="0" fontId="8" fillId="15" borderId="23" xfId="0" applyFont="1" applyFill="1" applyBorder="1">
      <alignment vertical="center"/>
    </xf>
    <xf numFmtId="0" fontId="8" fillId="0" borderId="23" xfId="0" applyFont="1" applyBorder="1">
      <alignment vertical="center"/>
    </xf>
    <xf numFmtId="0" fontId="8" fillId="0" borderId="23" xfId="0" applyFont="1" applyBorder="1" applyAlignment="1">
      <alignment horizontal="center" vertical="center"/>
    </xf>
    <xf numFmtId="0" fontId="8" fillId="15" borderId="23" xfId="0" applyFont="1" applyFill="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0" borderId="2" xfId="0" applyFont="1" applyBorder="1" applyAlignment="1">
      <alignment horizontal="center" vertical="top"/>
    </xf>
    <xf numFmtId="0" fontId="2" fillId="3" borderId="2" xfId="0" applyFont="1" applyFill="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5" xfId="0" applyFont="1" applyBorder="1" applyAlignment="1">
      <alignment horizontal="center" vertical="top"/>
    </xf>
    <xf numFmtId="0" fontId="21" fillId="13" borderId="13" xfId="0" applyFont="1" applyFill="1" applyBorder="1" applyAlignment="1">
      <alignment horizontal="center" vertical="center"/>
    </xf>
    <xf numFmtId="0" fontId="21" fillId="13" borderId="15" xfId="0" applyFont="1" applyFill="1" applyBorder="1" applyAlignment="1">
      <alignment horizontal="center" vertical="center"/>
    </xf>
    <xf numFmtId="0" fontId="21" fillId="13" borderId="16" xfId="0" applyFont="1" applyFill="1" applyBorder="1" applyAlignment="1">
      <alignment horizontal="center" vertical="center"/>
    </xf>
    <xf numFmtId="0" fontId="5" fillId="11" borderId="13" xfId="0" applyFont="1" applyFill="1" applyBorder="1" applyAlignment="1">
      <alignment horizontal="center" vertical="center" wrapText="1"/>
    </xf>
    <xf numFmtId="0" fontId="5" fillId="11" borderId="16" xfId="0" applyFont="1" applyFill="1" applyBorder="1" applyAlignment="1">
      <alignment horizontal="center" vertical="center" wrapText="1"/>
    </xf>
    <xf numFmtId="0" fontId="3" fillId="6" borderId="13" xfId="0" applyFont="1" applyFill="1" applyBorder="1" applyAlignment="1">
      <alignment horizontal="center"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5"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11" fillId="4" borderId="1"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9"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0" fillId="4" borderId="1"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cellXfs>
  <cellStyles count="2">
    <cellStyle name="Hyperlink" xfId="1" xr:uid="{00000000-000B-0000-0000-000008000000}"/>
    <cellStyle name="표준" xfId="0" builtinId="0"/>
  </cellStyles>
  <dxfs count="14">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dev-sfe.skchemicals.com" TargetMode="External"/><Relationship Id="rId7" Type="http://schemas.openxmlformats.org/officeDocument/2006/relationships/hyperlink" Target="https://www.skyebill.com/" TargetMode="External"/><Relationship Id="rId2" Type="http://schemas.openxmlformats.org/officeDocument/2006/relationships/hyperlink" Target="https://sfe.skchemicals.com" TargetMode="External"/><Relationship Id="rId1" Type="http://schemas.openxmlformats.org/officeDocument/2006/relationships/hyperlink" Target="https://dev-lsmarketinghub.skchemicals.com" TargetMode="External"/><Relationship Id="rId6" Type="http://schemas.openxmlformats.org/officeDocument/2006/relationships/hyperlink" Target="https://dtpl.skchemicals.com/main" TargetMode="External"/><Relationship Id="rId5" Type="http://schemas.openxmlformats.org/officeDocument/2006/relationships/hyperlink" Target="http://ehris.skchemicals.com" TargetMode="External"/><Relationship Id="rId4" Type="http://schemas.openxmlformats.org/officeDocument/2006/relationships/hyperlink" Target="https://eosgw.skchemicals.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eunjung.woo@chemtopia.net" TargetMode="External"/><Relationship Id="rId13" Type="http://schemas.openxmlformats.org/officeDocument/2006/relationships/printerSettings" Target="../printerSettings/printerSettings3.bin"/><Relationship Id="rId3" Type="http://schemas.openxmlformats.org/officeDocument/2006/relationships/hyperlink" Target="mailto:leedh@anyfive.com" TargetMode="External"/><Relationship Id="rId7" Type="http://schemas.openxmlformats.org/officeDocument/2006/relationships/hyperlink" Target="mailto:rladkgus75@vertexid.com" TargetMode="External"/><Relationship Id="rId12" Type="http://schemas.openxmlformats.org/officeDocument/2006/relationships/hyperlink" Target="mailto:abonno.55@partner.sk.com" TargetMode="External"/><Relationship Id="rId2" Type="http://schemas.openxmlformats.org/officeDocument/2006/relationships/hyperlink" Target="mailto:k7203@ec-bank.net;%20yiga80@ec-bank.net" TargetMode="External"/><Relationship Id="rId1" Type="http://schemas.openxmlformats.org/officeDocument/2006/relationships/hyperlink" Target="mailto:kysno3@partner.sk.com;%20bemyace@partner.sk.com" TargetMode="External"/><Relationship Id="rId6" Type="http://schemas.openxmlformats.org/officeDocument/2006/relationships/hyperlink" Target="mailto:seulgi.choi@wisetechglobal.com" TargetMode="External"/><Relationship Id="rId11" Type="http://schemas.openxmlformats.org/officeDocument/2006/relationships/hyperlink" Target="mailto:summer@dongapm.com" TargetMode="External"/><Relationship Id="rId5" Type="http://schemas.openxmlformats.org/officeDocument/2006/relationships/hyperlink" Target="mailto:jh.han@nextnow.kr" TargetMode="External"/><Relationship Id="rId10" Type="http://schemas.openxmlformats.org/officeDocument/2006/relationships/hyperlink" Target="mailto:webjung@businesson.co.kr" TargetMode="External"/><Relationship Id="rId4" Type="http://schemas.openxmlformats.org/officeDocument/2006/relationships/hyperlink" Target="mailto:kmkyung.26@partner.sk.com" TargetMode="External"/><Relationship Id="rId9" Type="http://schemas.openxmlformats.org/officeDocument/2006/relationships/hyperlink" Target="mailto:ryur0205@ntsoft.k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wonhyuckyu@partner.sk.com;%20moonseok.c@partner.sk.com;%20myungki.89@partner.sk.com;%20psslumber@partner.sk.com;%20crush0sun.11@partner.sk.com;%20kmkyung.26@partner.sk.com;%20abonno.55@partner.sk.com;%20crush0sun.11@partner.sk.com;%20hlkim12@partner.sk.com;%20skchem.i00015@partner.sk.com;%20v8pjh.29@partner.sk.com;%20wy273.53@partner.sk.com;%20mj.kim.91@partner.sk.com;%20zionex5@partner.sk.com;%20ljy7445@partner.sk.com;%20jisoo_kim@partner.sk.com;%20skchem.i00015@partner.sk.com;%20crush0sun.11@partner.sk.com;%20psslumber@partner.sk.com;%20kysno3@partner.sk.com;%20bemyace@partner.sk.com;%20ttttuo@myatman.com" TargetMode="External"/><Relationship Id="rId2" Type="http://schemas.openxmlformats.org/officeDocument/2006/relationships/hyperlink" Target="alswnsghd1234@naver.com;%20ttttuo@myatman.com;%20mirazzan1004@naver.com;%20jieunp974@vertexid.com;%20summer@dongapm.com;%20bs.kim@nextnow.kr;%20ryur0205@ntsoft.kr;%20eskim@idenwise.com;%20webjung@businesson.co.kr;%20sykim1@itcen.com;%20yjhwang@itcen.com;%20spotlight88@patuah.com;%20lsmmoon@woonamsoft.com;%20yiga80@ec-bank.net;%20eunjung.woo@chemtopia.net;%20hykim@anyfive.com;%20hms8117@duegosystem.com" TargetMode="External"/><Relationship Id="rId1" Type="http://schemas.openxmlformats.org/officeDocument/2006/relationships/hyperlink" Target="wonhyuckyu@partner.sk.com;%20alswnsghd1234@partner.sk.com;%20moonseok.c@partner.sk.com;%20myungki.89@partner.sk.com;%20ttttuo@partner.sk.com;%20mirazzan@partner.sk.com;%20psslumber@partner.sk.com;%20crush0sun.11@partner.sk.com;%20kmkyung.26@partner.sk.com;%20abonno.55@partner.sk.com;%20ieunp974.75@partner.sk.com;%20Woosjk12@partner.sk.com;%20bs.kim.92@partner.sk.com;%20ryur0205@partner.sk.com;%20gas4@partner.sk.com;%20dhpark0716@partner.sk.com;%20crush0sun.11@partner.sk.com;%20hlkim12@partner.sk.com;%20skchem.i00015@partner.sk.com;%20v8pjh.29@partner.sk.com;%20eskim@partner.sk.com;%20wy273.53@partner.sk.com;%20sb-webjung0868.07@partner.sk.com;%20mj.kim.91@partner.sk.com;%20lsmmoon@partner.sk.com;%20hykim_ict@partner.sk.com;%20zionex5@partner.sk.com;%20ljy7445@partner.sk.com;%20jisoo_kim@partner.sk.com;%20skchem.i00015@partner.sk.com;%20crush0sun.11@partner.sk.com;%20seulgi.choi.93@partner.sk.com;%20psslumber@partner.sk.com;%20kysno3@partner.sk.com;%20bemyace@partner.sk.com;%20alswnsghd1234@naver.com;%20myungki@hotmail.com;%20ttttuo@myatman.com;%20mirazzan1004@naver.com;%20psslumber@gmail.com;%20crush0sun@naver.com;%20kyumin.kyung@data-dynamics.io;%20abonno@naver.com;%20jieunp974@vertexid.com;%20Woosjk12@dongapm.com;%20bs.kim@nextnow.kr;%20ryur0205@ntsoft.kr;%20dhpark@rialab.co.kr;%20crush0sun@naver.com;%20hlkim7766@gmail.com%20;%20ma8665@hanmail.net;%20v8pjh@naver.com;%20eskim@idenwise.com;%20wy273@naver.com;%20webjung@businesson.co.kr;%20sykim1@itcen.com;%20yjhwang@itcen.com;%20minjun0620@gmail.com;%20spotlight88@patuah.com;%20lsmmoon@woonamsoft.com;%20yiga80@ec-bank.net;%20eunjung.woo@chemtopia.net;%20hykim@anyfive.com;%20finejkh@duegosystem.com;%20minah_yoo@zionex.com;%20grandline1@naver.com;%20jisoo_kim@zionex.com;%20ma8665@hanmail.net;%20crush0sun@naver.com;%20seulgi.choi@wisetechglobal.com;%20psslumber@gmail.com;%20kysno3@naver.com;%20bemyace@naver.com" TargetMode="External"/><Relationship Id="rId4"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D1A-F3AB-47EF-A96F-99A1C456B024}">
  <dimension ref="A1:AZ62"/>
  <sheetViews>
    <sheetView showGridLines="0" tabSelected="1" workbookViewId="0">
      <pane xSplit="4" ySplit="3" topLeftCell="AP4" activePane="bottomRight" state="frozen"/>
      <selection pane="bottomRight" activeCell="BD12" sqref="BD12"/>
      <selection pane="bottomLeft" activeCell="A5" sqref="A5"/>
      <selection pane="topRight" activeCell="C1" sqref="C1"/>
    </sheetView>
  </sheetViews>
  <sheetFormatPr defaultColWidth="9" defaultRowHeight="13.5" outlineLevelCol="1"/>
  <cols>
    <col min="1" max="1" width="6" style="3" customWidth="1"/>
    <col min="2" max="2" width="9.5" style="3" customWidth="1"/>
    <col min="3" max="3" width="23.875" style="4" bestFit="1" customWidth="1"/>
    <col min="4" max="4" width="6.5" style="3" bestFit="1" customWidth="1" outlineLevel="1"/>
    <col min="5" max="5" width="42.875" style="4" customWidth="1" outlineLevel="1"/>
    <col min="6" max="6" width="9.5" style="3" customWidth="1" outlineLevel="1"/>
    <col min="7" max="8" width="6.375" style="3" customWidth="1" outlineLevel="1"/>
    <col min="9" max="9" width="8.625" style="3" customWidth="1" outlineLevel="1"/>
    <col min="10" max="10" width="20" style="3" customWidth="1" outlineLevel="1"/>
    <col min="11" max="11" width="10.25" style="3" customWidth="1" outlineLevel="1"/>
    <col min="12" max="12" width="12.125" style="4" customWidth="1"/>
    <col min="13" max="13" width="15" style="4" customWidth="1"/>
    <col min="14" max="14" width="12.25" style="3" customWidth="1" outlineLevel="1"/>
    <col min="15" max="15" width="10.25" style="3" customWidth="1" outlineLevel="1"/>
    <col min="16" max="16" width="12.125" style="3" customWidth="1" outlineLevel="1"/>
    <col min="17" max="18" width="9" style="3" customWidth="1" outlineLevel="1"/>
    <col min="19" max="19" width="13.375" style="3" customWidth="1" outlineLevel="1"/>
    <col min="20" max="20" width="9" style="3" customWidth="1" outlineLevel="1"/>
    <col min="21" max="21" width="11.375" style="3" customWidth="1"/>
    <col min="22" max="22" width="9.625" style="3" customWidth="1"/>
    <col min="23" max="23" width="28.125" style="3" bestFit="1" customWidth="1"/>
    <col min="24" max="24" width="27.125" style="3" customWidth="1"/>
    <col min="25" max="25" width="32.375" style="3" bestFit="1" customWidth="1"/>
    <col min="26" max="26" width="26.875" style="3" bestFit="1" customWidth="1"/>
    <col min="27" max="27" width="27.25" style="3" bestFit="1" customWidth="1"/>
    <col min="28" max="29" width="9" style="3" customWidth="1"/>
    <col min="30" max="30" width="21.375" style="3" bestFit="1" customWidth="1"/>
    <col min="31" max="31" width="21" style="3" customWidth="1"/>
    <col min="32" max="32" width="30.5" style="4" bestFit="1" customWidth="1"/>
    <col min="33" max="33" width="18.375" style="3" bestFit="1" customWidth="1"/>
    <col min="34" max="34" width="14" style="3" customWidth="1" outlineLevel="1"/>
    <col min="35" max="35" width="9" style="3" customWidth="1" outlineLevel="1"/>
    <col min="36" max="37" width="9" style="3" customWidth="1"/>
    <col min="38" max="41" width="13.375" style="3" customWidth="1"/>
    <col min="42" max="42" width="40.625" style="4" customWidth="1"/>
    <col min="43" max="50" width="9" style="3"/>
    <col min="51" max="51" width="14.5" style="3" bestFit="1" customWidth="1"/>
    <col min="52" max="52" width="39.5" style="3" customWidth="1"/>
    <col min="53" max="16380" width="9" style="3"/>
    <col min="16381" max="16384" width="9" style="3" bestFit="1" customWidth="1"/>
  </cols>
  <sheetData>
    <row r="1" spans="1:52">
      <c r="C1" s="4">
        <v>1</v>
      </c>
      <c r="D1" s="3">
        <v>2</v>
      </c>
      <c r="E1" s="4">
        <v>3</v>
      </c>
      <c r="F1" s="4">
        <v>4</v>
      </c>
      <c r="G1" s="4">
        <v>5</v>
      </c>
      <c r="H1" s="4">
        <v>6</v>
      </c>
      <c r="I1" s="4">
        <v>7</v>
      </c>
      <c r="J1" s="4">
        <v>8</v>
      </c>
      <c r="K1" s="4">
        <v>9</v>
      </c>
      <c r="L1" s="4">
        <v>10</v>
      </c>
      <c r="M1" s="4">
        <v>11</v>
      </c>
      <c r="N1" s="4">
        <v>12</v>
      </c>
      <c r="O1" s="4">
        <v>13</v>
      </c>
      <c r="P1" s="4">
        <v>14</v>
      </c>
      <c r="Q1" s="4">
        <v>15</v>
      </c>
      <c r="R1" s="4">
        <v>16</v>
      </c>
      <c r="S1" s="4">
        <v>17</v>
      </c>
      <c r="T1" s="4">
        <v>18</v>
      </c>
      <c r="U1" s="4">
        <v>19</v>
      </c>
      <c r="V1" s="4">
        <v>20</v>
      </c>
      <c r="W1" s="4">
        <v>21</v>
      </c>
      <c r="X1" s="4">
        <v>22</v>
      </c>
      <c r="Y1" s="4">
        <v>23</v>
      </c>
      <c r="Z1" s="4">
        <v>24</v>
      </c>
      <c r="AA1" s="4"/>
      <c r="AB1" s="4"/>
      <c r="AC1" s="4">
        <v>26</v>
      </c>
      <c r="AD1" s="4">
        <v>27</v>
      </c>
      <c r="AE1" s="4">
        <v>28</v>
      </c>
      <c r="AF1" s="4">
        <v>29</v>
      </c>
      <c r="AG1" s="4">
        <v>30</v>
      </c>
      <c r="AH1" s="4">
        <v>31</v>
      </c>
      <c r="AI1" s="4">
        <v>32</v>
      </c>
      <c r="AJ1" s="4">
        <v>33</v>
      </c>
      <c r="AK1" s="4">
        <v>34</v>
      </c>
      <c r="AL1" s="4"/>
      <c r="AM1" s="4"/>
      <c r="AN1" s="4"/>
      <c r="AO1" s="4"/>
      <c r="AP1" s="4">
        <v>35</v>
      </c>
      <c r="AQ1" s="4">
        <v>36</v>
      </c>
      <c r="AR1" s="4">
        <v>37</v>
      </c>
      <c r="AS1" s="4">
        <v>38</v>
      </c>
      <c r="AT1" s="4">
        <v>39</v>
      </c>
      <c r="AU1" s="4">
        <v>40</v>
      </c>
      <c r="AV1" s="4">
        <v>41</v>
      </c>
      <c r="AW1" s="4"/>
      <c r="AX1" s="4">
        <v>42</v>
      </c>
      <c r="AY1" s="4"/>
      <c r="AZ1" s="4">
        <v>42</v>
      </c>
    </row>
    <row r="2" spans="1:52" ht="13.5" customHeight="1">
      <c r="B2" s="103"/>
      <c r="C2" s="103"/>
      <c r="D2" s="5"/>
      <c r="E2" s="109"/>
      <c r="F2" s="110"/>
      <c r="G2" s="110"/>
      <c r="H2" s="110"/>
      <c r="I2" s="253" t="s">
        <v>0</v>
      </c>
      <c r="J2" s="253"/>
      <c r="K2" s="253"/>
      <c r="L2" s="253"/>
      <c r="M2" s="253"/>
      <c r="N2" s="252" t="s">
        <v>1</v>
      </c>
      <c r="O2" s="252"/>
      <c r="P2" s="252"/>
      <c r="Q2" s="253" t="s">
        <v>2</v>
      </c>
      <c r="R2" s="253"/>
      <c r="S2" s="253"/>
      <c r="T2" s="253"/>
      <c r="U2" s="110"/>
      <c r="V2" s="112"/>
      <c r="W2" s="247" t="s">
        <v>3</v>
      </c>
      <c r="X2" s="248"/>
      <c r="Y2" s="247" t="s">
        <v>4</v>
      </c>
      <c r="Z2" s="248"/>
      <c r="AA2" s="148"/>
      <c r="AB2" s="253" t="s">
        <v>5</v>
      </c>
      <c r="AC2" s="253"/>
      <c r="AD2" s="253"/>
      <c r="AE2" s="253" t="s">
        <v>6</v>
      </c>
      <c r="AF2" s="253"/>
      <c r="AG2" s="253"/>
      <c r="AH2" s="253" t="s">
        <v>7</v>
      </c>
      <c r="AI2" s="253"/>
      <c r="AJ2" s="253"/>
      <c r="AK2" s="226"/>
      <c r="AL2" s="244" t="s">
        <v>8</v>
      </c>
      <c r="AM2" s="245"/>
      <c r="AN2" s="245"/>
      <c r="AO2" s="246"/>
      <c r="AP2" s="253" t="s">
        <v>9</v>
      </c>
      <c r="AQ2" s="249" t="s">
        <v>10</v>
      </c>
      <c r="AR2" s="250"/>
      <c r="AS2" s="250"/>
      <c r="AT2" s="250"/>
      <c r="AU2" s="250"/>
      <c r="AV2" s="250"/>
      <c r="AW2" s="250"/>
      <c r="AX2" s="250"/>
      <c r="AY2" s="250"/>
      <c r="AZ2" s="251"/>
    </row>
    <row r="3" spans="1:52" ht="41.25" customHeight="1">
      <c r="A3" s="3" t="s">
        <v>11</v>
      </c>
      <c r="B3" s="5" t="s">
        <v>12</v>
      </c>
      <c r="C3" s="5" t="s">
        <v>13</v>
      </c>
      <c r="D3" s="5" t="s">
        <v>14</v>
      </c>
      <c r="E3" s="108" t="s">
        <v>15</v>
      </c>
      <c r="F3" s="6" t="s">
        <v>16</v>
      </c>
      <c r="G3" s="6" t="s">
        <v>17</v>
      </c>
      <c r="H3" s="6" t="s">
        <v>18</v>
      </c>
      <c r="I3" s="5" t="s">
        <v>19</v>
      </c>
      <c r="J3" s="5" t="s">
        <v>20</v>
      </c>
      <c r="K3" s="5" t="s">
        <v>21</v>
      </c>
      <c r="L3" s="5" t="s">
        <v>22</v>
      </c>
      <c r="M3" s="5" t="s">
        <v>23</v>
      </c>
      <c r="N3" s="5" t="s">
        <v>20</v>
      </c>
      <c r="O3" s="5" t="s">
        <v>21</v>
      </c>
      <c r="P3" s="5" t="s">
        <v>22</v>
      </c>
      <c r="Q3" s="5" t="s">
        <v>24</v>
      </c>
      <c r="R3" s="5" t="s">
        <v>25</v>
      </c>
      <c r="S3" s="5" t="s">
        <v>26</v>
      </c>
      <c r="T3" s="7" t="s">
        <v>27</v>
      </c>
      <c r="U3" s="6" t="s">
        <v>28</v>
      </c>
      <c r="V3" s="111" t="s">
        <v>29</v>
      </c>
      <c r="W3" s="142" t="s">
        <v>30</v>
      </c>
      <c r="X3" s="142" t="s">
        <v>31</v>
      </c>
      <c r="Y3" s="142" t="s">
        <v>30</v>
      </c>
      <c r="Z3" s="142" t="s">
        <v>31</v>
      </c>
      <c r="AA3" s="142" t="s">
        <v>32</v>
      </c>
      <c r="AB3" s="6" t="s">
        <v>33</v>
      </c>
      <c r="AC3" s="5" t="s">
        <v>34</v>
      </c>
      <c r="AD3" s="143" t="s">
        <v>35</v>
      </c>
      <c r="AE3" s="5" t="s">
        <v>36</v>
      </c>
      <c r="AF3" s="7" t="s">
        <v>37</v>
      </c>
      <c r="AG3" s="5" t="s">
        <v>38</v>
      </c>
      <c r="AH3" s="7" t="s">
        <v>39</v>
      </c>
      <c r="AI3" s="5" t="s">
        <v>40</v>
      </c>
      <c r="AJ3" s="5" t="s">
        <v>41</v>
      </c>
      <c r="AK3" s="5" t="s">
        <v>42</v>
      </c>
      <c r="AL3" s="227" t="s">
        <v>43</v>
      </c>
      <c r="AM3" s="227" t="s">
        <v>44</v>
      </c>
      <c r="AN3" s="227" t="s">
        <v>45</v>
      </c>
      <c r="AO3" s="227" t="s">
        <v>46</v>
      </c>
      <c r="AP3" s="253"/>
      <c r="AQ3" s="102" t="s">
        <v>47</v>
      </c>
      <c r="AR3" s="102" t="s">
        <v>48</v>
      </c>
      <c r="AS3" s="102" t="s">
        <v>49</v>
      </c>
      <c r="AT3" s="102" t="s">
        <v>50</v>
      </c>
      <c r="AU3" s="102" t="s">
        <v>51</v>
      </c>
      <c r="AV3" s="102" t="s">
        <v>52</v>
      </c>
      <c r="AW3" s="102" t="s">
        <v>53</v>
      </c>
      <c r="AX3" s="102" t="s">
        <v>54</v>
      </c>
      <c r="AY3" s="118" t="s">
        <v>55</v>
      </c>
      <c r="AZ3" s="102" t="s">
        <v>56</v>
      </c>
    </row>
    <row r="4" spans="1:52" s="20" customFormat="1" ht="18.75" customHeight="1">
      <c r="A4" s="20">
        <v>1</v>
      </c>
      <c r="B4" s="239" t="s">
        <v>57</v>
      </c>
      <c r="C4" s="22" t="s">
        <v>58</v>
      </c>
      <c r="D4" s="21">
        <f>A4</f>
        <v>1</v>
      </c>
      <c r="E4" s="28" t="s">
        <v>59</v>
      </c>
      <c r="F4" s="24" t="s">
        <v>60</v>
      </c>
      <c r="G4" s="24"/>
      <c r="H4" s="24"/>
      <c r="I4" s="24" t="s">
        <v>61</v>
      </c>
      <c r="J4" s="24" t="s">
        <v>62</v>
      </c>
      <c r="K4" s="24" t="s">
        <v>63</v>
      </c>
      <c r="L4" s="22" t="s">
        <v>64</v>
      </c>
      <c r="M4" s="22" t="s">
        <v>65</v>
      </c>
      <c r="N4" s="24" t="s">
        <v>66</v>
      </c>
      <c r="O4" s="24" t="s">
        <v>67</v>
      </c>
      <c r="P4" s="24" t="s">
        <v>68</v>
      </c>
      <c r="Q4" s="21"/>
      <c r="R4" s="21"/>
      <c r="S4" s="21"/>
      <c r="T4" s="21"/>
      <c r="U4" s="25">
        <v>2020</v>
      </c>
      <c r="V4" s="25" t="s">
        <v>69</v>
      </c>
      <c r="W4" s="172" t="s">
        <v>70</v>
      </c>
      <c r="X4" s="113" t="s">
        <v>71</v>
      </c>
      <c r="Y4" s="172" t="s">
        <v>70</v>
      </c>
      <c r="Z4" s="113" t="s">
        <v>71</v>
      </c>
      <c r="AA4" s="21"/>
      <c r="AB4" s="26" t="s">
        <v>72</v>
      </c>
      <c r="AC4" s="26"/>
      <c r="AD4" s="26" t="s">
        <v>73</v>
      </c>
      <c r="AE4" s="26" t="s">
        <v>74</v>
      </c>
      <c r="AF4" s="27" t="s">
        <v>71</v>
      </c>
      <c r="AG4" s="26" t="s">
        <v>75</v>
      </c>
      <c r="AH4" s="21"/>
      <c r="AI4" s="21"/>
      <c r="AJ4" s="21" t="s">
        <v>76</v>
      </c>
      <c r="AK4" s="21"/>
      <c r="AL4" s="223"/>
      <c r="AM4" s="223"/>
      <c r="AN4" s="223"/>
      <c r="AO4" s="223"/>
      <c r="AP4" s="101"/>
      <c r="AQ4" s="96" t="s">
        <v>77</v>
      </c>
      <c r="AR4" s="96" t="s">
        <v>77</v>
      </c>
      <c r="AS4" s="96" t="s">
        <v>77</v>
      </c>
      <c r="AT4" s="96" t="s">
        <v>77</v>
      </c>
      <c r="AU4" s="96" t="s">
        <v>77</v>
      </c>
      <c r="AV4" s="96" t="s">
        <v>77</v>
      </c>
      <c r="AW4" s="96" t="s">
        <v>77</v>
      </c>
      <c r="AX4" s="96" t="s">
        <v>77</v>
      </c>
      <c r="AY4" s="96" t="s">
        <v>78</v>
      </c>
      <c r="AZ4" s="114" t="s">
        <v>79</v>
      </c>
    </row>
    <row r="5" spans="1:52" s="20" customFormat="1" ht="18.75" customHeight="1">
      <c r="A5" s="20">
        <v>2</v>
      </c>
      <c r="B5" s="239"/>
      <c r="C5" s="22" t="s">
        <v>80</v>
      </c>
      <c r="D5" s="21">
        <f t="shared" ref="D5:D62" si="0">A5</f>
        <v>2</v>
      </c>
      <c r="E5" s="28" t="s">
        <v>81</v>
      </c>
      <c r="F5" s="24" t="s">
        <v>60</v>
      </c>
      <c r="G5" s="24"/>
      <c r="H5" s="24"/>
      <c r="I5" s="24" t="s">
        <v>61</v>
      </c>
      <c r="J5" s="24" t="s">
        <v>82</v>
      </c>
      <c r="K5" s="24" t="s">
        <v>83</v>
      </c>
      <c r="L5" s="29" t="s">
        <v>84</v>
      </c>
      <c r="M5" s="29" t="s">
        <v>85</v>
      </c>
      <c r="N5" s="24" t="s">
        <v>86</v>
      </c>
      <c r="O5" s="24" t="s">
        <v>87</v>
      </c>
      <c r="P5" s="24" t="s">
        <v>88</v>
      </c>
      <c r="Q5" s="21"/>
      <c r="R5" s="21"/>
      <c r="S5" s="21"/>
      <c r="T5" s="21"/>
      <c r="U5" s="30">
        <v>2021</v>
      </c>
      <c r="V5" s="30" t="s">
        <v>89</v>
      </c>
      <c r="W5" s="30" t="s">
        <v>90</v>
      </c>
      <c r="X5" s="30" t="s">
        <v>91</v>
      </c>
      <c r="Y5" s="21" t="s">
        <v>92</v>
      </c>
      <c r="Z5" s="30" t="s">
        <v>93</v>
      </c>
      <c r="AA5" s="30"/>
      <c r="AB5" s="26" t="s">
        <v>94</v>
      </c>
      <c r="AC5" s="26" t="s">
        <v>95</v>
      </c>
      <c r="AD5" s="26" t="s">
        <v>96</v>
      </c>
      <c r="AE5" s="26" t="s">
        <v>74</v>
      </c>
      <c r="AF5" s="27" t="s">
        <v>92</v>
      </c>
      <c r="AG5" s="26" t="s">
        <v>75</v>
      </c>
      <c r="AH5" s="21"/>
      <c r="AI5" s="21"/>
      <c r="AJ5" s="21" t="s">
        <v>76</v>
      </c>
      <c r="AK5" s="21" t="s">
        <v>97</v>
      </c>
      <c r="AL5" s="223"/>
      <c r="AM5" s="223"/>
      <c r="AN5" s="223"/>
      <c r="AO5" s="223"/>
      <c r="AP5" s="101"/>
      <c r="AQ5" s="96" t="s">
        <v>77</v>
      </c>
      <c r="AR5" s="96"/>
      <c r="AS5" s="96"/>
      <c r="AT5" s="96"/>
      <c r="AU5" s="96"/>
      <c r="AV5" s="96"/>
      <c r="AW5" s="96"/>
      <c r="AX5" s="96"/>
      <c r="AY5" s="96"/>
      <c r="AZ5" s="114"/>
    </row>
    <row r="6" spans="1:52" s="42" customFormat="1" ht="18.75" customHeight="1">
      <c r="A6" s="42">
        <v>3</v>
      </c>
      <c r="B6" s="240"/>
      <c r="C6" s="43" t="s">
        <v>98</v>
      </c>
      <c r="D6" s="41">
        <f t="shared" si="0"/>
        <v>3</v>
      </c>
      <c r="E6" s="43" t="s">
        <v>99</v>
      </c>
      <c r="F6" s="44" t="s">
        <v>60</v>
      </c>
      <c r="G6" s="45"/>
      <c r="H6" s="45"/>
      <c r="I6" s="44"/>
      <c r="J6" s="44"/>
      <c r="K6" s="44"/>
      <c r="L6" s="46"/>
      <c r="M6" s="46"/>
      <c r="N6" s="44"/>
      <c r="O6" s="44"/>
      <c r="P6" s="24"/>
      <c r="Q6" s="41"/>
      <c r="R6" s="41"/>
      <c r="S6" s="41"/>
      <c r="T6" s="41"/>
      <c r="U6" s="44"/>
      <c r="V6" s="44" t="s">
        <v>100</v>
      </c>
      <c r="W6" s="44"/>
      <c r="X6" s="44"/>
      <c r="Y6" s="44"/>
      <c r="Z6" s="44"/>
      <c r="AA6" s="44"/>
      <c r="AB6" s="44"/>
      <c r="AC6" s="41"/>
      <c r="AD6" s="41"/>
      <c r="AE6" s="41"/>
      <c r="AF6" s="43"/>
      <c r="AG6" s="41"/>
      <c r="AH6" s="41"/>
      <c r="AI6" s="41"/>
      <c r="AJ6" s="41"/>
      <c r="AK6" s="41"/>
      <c r="AL6" s="224"/>
      <c r="AM6" s="224"/>
      <c r="AN6" s="224"/>
      <c r="AO6" s="224"/>
      <c r="AP6" s="99" t="s">
        <v>101</v>
      </c>
      <c r="AQ6" s="97"/>
      <c r="AR6" s="97"/>
      <c r="AS6" s="97"/>
      <c r="AT6" s="97"/>
      <c r="AU6" s="97"/>
      <c r="AV6" s="97"/>
      <c r="AW6" s="97"/>
      <c r="AX6" s="97"/>
      <c r="AY6" s="97"/>
      <c r="AZ6" s="115"/>
    </row>
    <row r="7" spans="1:52" s="42" customFormat="1" ht="18.75" customHeight="1">
      <c r="A7" s="42">
        <v>4</v>
      </c>
      <c r="B7" s="239"/>
      <c r="C7" s="43" t="s">
        <v>102</v>
      </c>
      <c r="D7" s="41">
        <f t="shared" si="0"/>
        <v>4</v>
      </c>
      <c r="E7" s="47" t="s">
        <v>103</v>
      </c>
      <c r="F7" s="44" t="s">
        <v>60</v>
      </c>
      <c r="G7" s="45"/>
      <c r="H7" s="45"/>
      <c r="I7" s="44" t="s">
        <v>61</v>
      </c>
      <c r="J7" s="44" t="s">
        <v>62</v>
      </c>
      <c r="K7" s="44" t="s">
        <v>63</v>
      </c>
      <c r="L7" s="43" t="s">
        <v>64</v>
      </c>
      <c r="M7" s="46" t="s">
        <v>104</v>
      </c>
      <c r="N7" s="44" t="s">
        <v>86</v>
      </c>
      <c r="O7" s="44" t="s">
        <v>87</v>
      </c>
      <c r="P7" s="24" t="s">
        <v>105</v>
      </c>
      <c r="Q7" s="41"/>
      <c r="R7" s="41"/>
      <c r="S7" s="41"/>
      <c r="T7" s="41"/>
      <c r="U7" s="44"/>
      <c r="V7" s="44" t="s">
        <v>100</v>
      </c>
      <c r="W7" s="44"/>
      <c r="X7" s="44"/>
      <c r="Y7" s="44"/>
      <c r="Z7" s="44"/>
      <c r="AA7" s="44"/>
      <c r="AB7" s="48"/>
      <c r="AC7" s="41"/>
      <c r="AD7" s="41"/>
      <c r="AE7" s="41"/>
      <c r="AF7" s="43"/>
      <c r="AG7" s="41"/>
      <c r="AH7" s="41"/>
      <c r="AI7" s="41"/>
      <c r="AJ7" s="41"/>
      <c r="AK7" s="41"/>
      <c r="AL7" s="224"/>
      <c r="AM7" s="224"/>
      <c r="AN7" s="224"/>
      <c r="AO7" s="224"/>
      <c r="AP7" s="99"/>
      <c r="AQ7" s="97"/>
      <c r="AR7" s="97"/>
      <c r="AS7" s="97"/>
      <c r="AT7" s="97"/>
      <c r="AU7" s="97"/>
      <c r="AV7" s="97"/>
      <c r="AW7" s="97"/>
      <c r="AX7" s="96" t="s">
        <v>77</v>
      </c>
      <c r="AY7" s="96" t="s">
        <v>78</v>
      </c>
      <c r="AZ7" s="114" t="s">
        <v>106</v>
      </c>
    </row>
    <row r="8" spans="1:52" s="20" customFormat="1" ht="18.75" customHeight="1">
      <c r="A8" s="20">
        <v>5</v>
      </c>
      <c r="B8" s="239"/>
      <c r="C8" s="22" t="s">
        <v>107</v>
      </c>
      <c r="D8" s="21">
        <f t="shared" si="0"/>
        <v>5</v>
      </c>
      <c r="E8" s="28" t="s">
        <v>108</v>
      </c>
      <c r="F8" s="24" t="s">
        <v>60</v>
      </c>
      <c r="G8" s="31"/>
      <c r="H8" s="31"/>
      <c r="I8" s="24" t="s">
        <v>61</v>
      </c>
      <c r="J8" s="24" t="s">
        <v>62</v>
      </c>
      <c r="K8" s="24" t="s">
        <v>63</v>
      </c>
      <c r="L8" s="29" t="s">
        <v>109</v>
      </c>
      <c r="M8" s="29" t="s">
        <v>110</v>
      </c>
      <c r="N8" s="24" t="s">
        <v>86</v>
      </c>
      <c r="O8" s="24" t="s">
        <v>87</v>
      </c>
      <c r="P8" s="24" t="s">
        <v>68</v>
      </c>
      <c r="Q8" s="21"/>
      <c r="R8" s="21"/>
      <c r="S8" s="21"/>
      <c r="T8" s="21"/>
      <c r="U8" s="24">
        <v>2008</v>
      </c>
      <c r="V8" s="24" t="s">
        <v>89</v>
      </c>
      <c r="W8" s="24" t="s">
        <v>100</v>
      </c>
      <c r="X8" s="24" t="s">
        <v>100</v>
      </c>
      <c r="Y8" s="24" t="s">
        <v>100</v>
      </c>
      <c r="Z8" s="24" t="s">
        <v>111</v>
      </c>
      <c r="AA8" s="24"/>
      <c r="AB8" s="24" t="s">
        <v>94</v>
      </c>
      <c r="AC8" s="21" t="s">
        <v>95</v>
      </c>
      <c r="AD8" s="26" t="s">
        <v>96</v>
      </c>
      <c r="AE8" s="21" t="s">
        <v>111</v>
      </c>
      <c r="AF8" s="22" t="s">
        <v>111</v>
      </c>
      <c r="AG8" s="21" t="s">
        <v>111</v>
      </c>
      <c r="AH8" s="21"/>
      <c r="AI8" s="21"/>
      <c r="AJ8" s="21"/>
      <c r="AK8" s="21"/>
      <c r="AL8" s="223"/>
      <c r="AM8" s="223"/>
      <c r="AN8" s="223"/>
      <c r="AO8" s="223"/>
      <c r="AP8" s="101"/>
      <c r="AQ8" s="96" t="s">
        <v>77</v>
      </c>
      <c r="AR8" s="96" t="s">
        <v>77</v>
      </c>
      <c r="AS8" s="96"/>
      <c r="AT8" s="96"/>
      <c r="AU8" s="96"/>
      <c r="AV8" s="96"/>
      <c r="AW8" s="96"/>
      <c r="AX8" s="96"/>
      <c r="AY8" s="96"/>
      <c r="AZ8" s="114"/>
    </row>
    <row r="9" spans="1:52" s="42" customFormat="1" ht="18.75" customHeight="1">
      <c r="A9" s="42">
        <v>6</v>
      </c>
      <c r="B9" s="239"/>
      <c r="C9" s="43" t="s">
        <v>112</v>
      </c>
      <c r="D9" s="41">
        <f t="shared" si="0"/>
        <v>6</v>
      </c>
      <c r="E9" s="49" t="s">
        <v>113</v>
      </c>
      <c r="F9" s="44" t="s">
        <v>60</v>
      </c>
      <c r="G9" s="45"/>
      <c r="H9" s="45"/>
      <c r="I9" s="44" t="s">
        <v>61</v>
      </c>
      <c r="J9" s="44" t="s">
        <v>62</v>
      </c>
      <c r="K9" s="44" t="s">
        <v>63</v>
      </c>
      <c r="L9" s="43" t="s">
        <v>64</v>
      </c>
      <c r="M9" s="46" t="s">
        <v>114</v>
      </c>
      <c r="N9" s="44" t="s">
        <v>86</v>
      </c>
      <c r="O9" s="44" t="s">
        <v>87</v>
      </c>
      <c r="P9" s="24" t="s">
        <v>68</v>
      </c>
      <c r="Q9" s="41"/>
      <c r="R9" s="41"/>
      <c r="S9" s="41"/>
      <c r="T9" s="41"/>
      <c r="U9" s="50"/>
      <c r="V9" s="44" t="s">
        <v>100</v>
      </c>
      <c r="W9" s="50"/>
      <c r="X9" s="50"/>
      <c r="Y9" s="50"/>
      <c r="Z9" s="50"/>
      <c r="AA9" s="50"/>
      <c r="AB9" s="44"/>
      <c r="AC9" s="48"/>
      <c r="AD9" s="48"/>
      <c r="AE9" s="48"/>
      <c r="AF9" s="51"/>
      <c r="AG9" s="48"/>
      <c r="AH9" s="41"/>
      <c r="AI9" s="41"/>
      <c r="AJ9" s="41"/>
      <c r="AK9" s="41"/>
      <c r="AL9" s="224"/>
      <c r="AM9" s="224"/>
      <c r="AN9" s="224"/>
      <c r="AO9" s="224"/>
      <c r="AP9" s="170"/>
      <c r="AQ9" s="96"/>
      <c r="AR9" s="96"/>
      <c r="AS9" s="96"/>
      <c r="AT9" s="96"/>
      <c r="AU9" s="96"/>
      <c r="AV9" s="96"/>
      <c r="AW9" s="96"/>
      <c r="AX9" s="96"/>
      <c r="AY9" s="96"/>
      <c r="AZ9" s="114"/>
    </row>
    <row r="10" spans="1:52" s="20" customFormat="1" ht="18.75" customHeight="1">
      <c r="A10" s="20">
        <v>7</v>
      </c>
      <c r="B10" s="239"/>
      <c r="C10" s="22" t="s">
        <v>115</v>
      </c>
      <c r="D10" s="21">
        <f t="shared" si="0"/>
        <v>7</v>
      </c>
      <c r="E10" s="28" t="s">
        <v>116</v>
      </c>
      <c r="F10" s="24" t="s">
        <v>60</v>
      </c>
      <c r="G10" s="31"/>
      <c r="H10" s="31"/>
      <c r="I10" s="24" t="s">
        <v>61</v>
      </c>
      <c r="J10" s="24" t="s">
        <v>62</v>
      </c>
      <c r="K10" s="24" t="s">
        <v>63</v>
      </c>
      <c r="L10" s="22" t="s">
        <v>64</v>
      </c>
      <c r="M10" s="29" t="s">
        <v>117</v>
      </c>
      <c r="N10" s="24" t="s">
        <v>86</v>
      </c>
      <c r="O10" s="24" t="s">
        <v>87</v>
      </c>
      <c r="P10" s="24" t="s">
        <v>68</v>
      </c>
      <c r="Q10" s="26"/>
      <c r="R10" s="26"/>
      <c r="S10" s="26"/>
      <c r="T10" s="26"/>
      <c r="U10" s="21">
        <v>2001</v>
      </c>
      <c r="V10" s="25" t="s">
        <v>69</v>
      </c>
      <c r="W10" s="21" t="s">
        <v>118</v>
      </c>
      <c r="X10" s="113" t="s">
        <v>119</v>
      </c>
      <c r="Y10" s="21" t="s">
        <v>92</v>
      </c>
      <c r="Z10" s="113" t="s">
        <v>119</v>
      </c>
      <c r="AA10" s="21"/>
      <c r="AB10" s="24" t="s">
        <v>72</v>
      </c>
      <c r="AC10" s="21"/>
      <c r="AD10" s="113" t="s">
        <v>120</v>
      </c>
      <c r="AE10" s="32" t="s">
        <v>121</v>
      </c>
      <c r="AF10" s="33" t="s">
        <v>92</v>
      </c>
      <c r="AG10" s="32" t="s">
        <v>121</v>
      </c>
      <c r="AH10" s="21"/>
      <c r="AI10" s="21"/>
      <c r="AJ10" s="21"/>
      <c r="AK10" s="21"/>
      <c r="AL10" s="223"/>
      <c r="AM10" s="223"/>
      <c r="AN10" s="223"/>
      <c r="AO10" s="223"/>
      <c r="AP10" s="171"/>
      <c r="AQ10" s="96" t="s">
        <v>77</v>
      </c>
      <c r="AR10" s="96" t="s">
        <v>77</v>
      </c>
      <c r="AS10" s="96" t="s">
        <v>77</v>
      </c>
      <c r="AT10" s="96" t="s">
        <v>77</v>
      </c>
      <c r="AU10" s="96" t="s">
        <v>77</v>
      </c>
      <c r="AV10" s="96" t="s">
        <v>77</v>
      </c>
      <c r="AW10" s="96" t="s">
        <v>77</v>
      </c>
      <c r="AX10" s="96"/>
      <c r="AY10" s="96"/>
      <c r="AZ10" s="114"/>
    </row>
    <row r="11" spans="1:52" s="20" customFormat="1" ht="18.75" customHeight="1">
      <c r="A11" s="20">
        <v>8</v>
      </c>
      <c r="B11" s="239"/>
      <c r="C11" s="22" t="s">
        <v>122</v>
      </c>
      <c r="D11" s="21">
        <f t="shared" si="0"/>
        <v>8</v>
      </c>
      <c r="E11" s="28" t="s">
        <v>123</v>
      </c>
      <c r="F11" s="24" t="s">
        <v>60</v>
      </c>
      <c r="G11" s="31"/>
      <c r="H11" s="31"/>
      <c r="I11" s="24" t="s">
        <v>61</v>
      </c>
      <c r="J11" s="24" t="s">
        <v>62</v>
      </c>
      <c r="K11" s="24" t="s">
        <v>63</v>
      </c>
      <c r="L11" s="22" t="s">
        <v>64</v>
      </c>
      <c r="M11" s="22" t="s">
        <v>124</v>
      </c>
      <c r="N11" s="24" t="s">
        <v>86</v>
      </c>
      <c r="O11" s="24" t="s">
        <v>87</v>
      </c>
      <c r="P11" s="24" t="s">
        <v>105</v>
      </c>
      <c r="Q11" s="21"/>
      <c r="R11" s="21"/>
      <c r="S11" s="26"/>
      <c r="T11" s="26"/>
      <c r="U11" s="24">
        <v>2022</v>
      </c>
      <c r="V11" s="25" t="s">
        <v>69</v>
      </c>
      <c r="W11" s="24" t="s">
        <v>100</v>
      </c>
      <c r="X11" s="24" t="s">
        <v>100</v>
      </c>
      <c r="Y11" s="24" t="s">
        <v>125</v>
      </c>
      <c r="Z11" s="24" t="s">
        <v>126</v>
      </c>
      <c r="AA11" s="21"/>
      <c r="AB11" s="24" t="s">
        <v>94</v>
      </c>
      <c r="AC11" s="21" t="s">
        <v>95</v>
      </c>
      <c r="AD11" s="113" t="s">
        <v>127</v>
      </c>
      <c r="AE11" s="26" t="s">
        <v>121</v>
      </c>
      <c r="AF11" s="27" t="s">
        <v>128</v>
      </c>
      <c r="AG11" s="26" t="s">
        <v>121</v>
      </c>
      <c r="AH11" s="21"/>
      <c r="AI11" s="21"/>
      <c r="AJ11" s="21"/>
      <c r="AK11" s="21"/>
      <c r="AL11" s="223"/>
      <c r="AM11" s="223"/>
      <c r="AN11" s="223"/>
      <c r="AO11" s="223"/>
      <c r="AP11" s="171"/>
      <c r="AQ11" s="96" t="s">
        <v>77</v>
      </c>
      <c r="AR11" s="96" t="s">
        <v>77</v>
      </c>
      <c r="AS11" s="96"/>
      <c r="AT11" s="96"/>
      <c r="AU11" s="96"/>
      <c r="AV11" s="96"/>
      <c r="AW11" s="96" t="s">
        <v>77</v>
      </c>
      <c r="AX11" s="96"/>
      <c r="AY11" s="96"/>
      <c r="AZ11" s="114"/>
    </row>
    <row r="12" spans="1:52" s="20" customFormat="1" ht="18.75" customHeight="1">
      <c r="A12" s="20">
        <v>9</v>
      </c>
      <c r="B12" s="239"/>
      <c r="C12" s="22" t="s">
        <v>129</v>
      </c>
      <c r="D12" s="21">
        <f t="shared" si="0"/>
        <v>9</v>
      </c>
      <c r="E12" s="28" t="s">
        <v>130</v>
      </c>
      <c r="F12" s="24" t="s">
        <v>60</v>
      </c>
      <c r="G12" s="31"/>
      <c r="H12" s="31"/>
      <c r="I12" s="24" t="s">
        <v>61</v>
      </c>
      <c r="J12" s="24" t="s">
        <v>62</v>
      </c>
      <c r="K12" s="24" t="s">
        <v>63</v>
      </c>
      <c r="L12" s="22" t="s">
        <v>64</v>
      </c>
      <c r="M12" s="22" t="s">
        <v>131</v>
      </c>
      <c r="N12" s="21" t="s">
        <v>86</v>
      </c>
      <c r="O12" s="21" t="s">
        <v>87</v>
      </c>
      <c r="P12" s="21" t="s">
        <v>105</v>
      </c>
      <c r="Q12" s="21"/>
      <c r="R12" s="21"/>
      <c r="S12" s="26"/>
      <c r="T12" s="26"/>
      <c r="U12" s="21">
        <v>2023</v>
      </c>
      <c r="V12" s="25" t="s">
        <v>69</v>
      </c>
      <c r="W12" s="21" t="s">
        <v>132</v>
      </c>
      <c r="X12" s="21" t="s">
        <v>133</v>
      </c>
      <c r="Y12" s="21" t="s">
        <v>134</v>
      </c>
      <c r="Z12" s="21" t="s">
        <v>135</v>
      </c>
      <c r="AA12" s="21" t="s">
        <v>136</v>
      </c>
      <c r="AB12" s="21" t="s">
        <v>94</v>
      </c>
      <c r="AC12" s="21" t="s">
        <v>95</v>
      </c>
      <c r="AD12" s="124" t="s">
        <v>137</v>
      </c>
      <c r="AE12" s="21" t="s">
        <v>121</v>
      </c>
      <c r="AF12" s="22" t="s">
        <v>138</v>
      </c>
      <c r="AG12" s="21" t="s">
        <v>139</v>
      </c>
      <c r="AH12" s="21"/>
      <c r="AI12" s="21"/>
      <c r="AJ12" s="21"/>
      <c r="AK12" s="21"/>
      <c r="AL12" s="223"/>
      <c r="AM12" s="223"/>
      <c r="AN12" s="223"/>
      <c r="AO12" s="223"/>
      <c r="AP12" s="137" t="s">
        <v>101</v>
      </c>
      <c r="AQ12" s="96" t="s">
        <v>77</v>
      </c>
      <c r="AR12" s="96" t="s">
        <v>77</v>
      </c>
      <c r="AS12" s="107"/>
      <c r="AT12" s="107"/>
      <c r="AU12" s="107"/>
      <c r="AV12" s="107"/>
      <c r="AW12" s="96"/>
      <c r="AX12" s="96"/>
      <c r="AY12" s="96"/>
      <c r="AZ12" s="114"/>
    </row>
    <row r="13" spans="1:52" s="20" customFormat="1" ht="18.75" customHeight="1">
      <c r="B13" s="239"/>
      <c r="C13" s="22" t="s">
        <v>140</v>
      </c>
      <c r="D13" s="21">
        <f t="shared" si="0"/>
        <v>0</v>
      </c>
      <c r="E13" s="28" t="s">
        <v>141</v>
      </c>
      <c r="F13" s="21" t="s">
        <v>60</v>
      </c>
      <c r="G13" s="21"/>
      <c r="H13" s="21"/>
      <c r="I13" s="21" t="s">
        <v>142</v>
      </c>
      <c r="J13" s="21" t="s">
        <v>62</v>
      </c>
      <c r="K13" s="21" t="s">
        <v>63</v>
      </c>
      <c r="L13" s="22" t="s">
        <v>64</v>
      </c>
      <c r="M13" s="22" t="s">
        <v>131</v>
      </c>
      <c r="N13" s="21" t="s">
        <v>86</v>
      </c>
      <c r="O13" s="21" t="s">
        <v>87</v>
      </c>
      <c r="P13" s="21" t="s">
        <v>105</v>
      </c>
      <c r="Q13" s="21"/>
      <c r="R13" s="21"/>
      <c r="S13" s="26"/>
      <c r="T13" s="26"/>
      <c r="U13" s="21">
        <v>2023</v>
      </c>
      <c r="V13" s="25" t="s">
        <v>69</v>
      </c>
      <c r="W13" s="21" t="s">
        <v>143</v>
      </c>
      <c r="X13" s="21" t="s">
        <v>144</v>
      </c>
      <c r="Y13" s="21" t="s">
        <v>92</v>
      </c>
      <c r="Z13" s="21" t="s">
        <v>145</v>
      </c>
      <c r="AA13" s="21"/>
      <c r="AB13" s="21" t="s">
        <v>72</v>
      </c>
      <c r="AC13" s="21"/>
      <c r="AD13" s="21" t="s">
        <v>146</v>
      </c>
      <c r="AE13" s="21" t="s">
        <v>121</v>
      </c>
      <c r="AF13" s="22"/>
      <c r="AG13" s="21" t="s">
        <v>139</v>
      </c>
      <c r="AH13" s="21"/>
      <c r="AI13" s="21"/>
      <c r="AJ13" s="21"/>
      <c r="AK13" s="21"/>
      <c r="AL13" s="223"/>
      <c r="AM13" s="223"/>
      <c r="AN13" s="223"/>
      <c r="AO13" s="223"/>
      <c r="AP13" s="136" t="s">
        <v>101</v>
      </c>
      <c r="AQ13" s="96" t="s">
        <v>77</v>
      </c>
      <c r="AR13" s="96" t="s">
        <v>77</v>
      </c>
      <c r="AS13" s="107"/>
      <c r="AT13" s="107"/>
      <c r="AU13" s="107"/>
      <c r="AV13" s="107"/>
      <c r="AW13" s="96"/>
      <c r="AX13" s="96"/>
      <c r="AY13" s="96"/>
      <c r="AZ13" s="114"/>
    </row>
    <row r="14" spans="1:52" s="42" customFormat="1" ht="18.75" customHeight="1">
      <c r="A14" s="42">
        <v>10</v>
      </c>
      <c r="B14" s="240"/>
      <c r="C14" s="43" t="s">
        <v>147</v>
      </c>
      <c r="D14" s="41">
        <f t="shared" si="0"/>
        <v>10</v>
      </c>
      <c r="E14" s="43" t="s">
        <v>101</v>
      </c>
      <c r="F14" s="44" t="s">
        <v>60</v>
      </c>
      <c r="G14" s="45"/>
      <c r="H14" s="45"/>
      <c r="I14" s="44"/>
      <c r="J14" s="44"/>
      <c r="K14" s="44"/>
      <c r="L14" s="46"/>
      <c r="M14" s="46"/>
      <c r="N14" s="41"/>
      <c r="O14" s="41"/>
      <c r="P14" s="21"/>
      <c r="Q14" s="41"/>
      <c r="R14" s="41"/>
      <c r="S14" s="48"/>
      <c r="T14" s="48"/>
      <c r="U14" s="41"/>
      <c r="V14" s="44" t="s">
        <v>100</v>
      </c>
      <c r="W14" s="41"/>
      <c r="X14" s="41"/>
      <c r="Y14" s="41"/>
      <c r="Z14" s="41"/>
      <c r="AA14" s="41"/>
      <c r="AB14" s="41"/>
      <c r="AC14" s="41"/>
      <c r="AD14" s="41"/>
      <c r="AE14" s="41"/>
      <c r="AF14" s="43"/>
      <c r="AG14" s="41"/>
      <c r="AH14" s="41"/>
      <c r="AI14" s="41"/>
      <c r="AJ14" s="41"/>
      <c r="AK14" s="41"/>
      <c r="AL14" s="224"/>
      <c r="AM14" s="224"/>
      <c r="AN14" s="224"/>
      <c r="AO14" s="224"/>
      <c r="AP14" s="136" t="s">
        <v>101</v>
      </c>
      <c r="AQ14" s="96" t="s">
        <v>77</v>
      </c>
      <c r="AR14" s="96" t="s">
        <v>77</v>
      </c>
      <c r="AS14" s="96"/>
      <c r="AT14" s="96"/>
      <c r="AU14" s="96"/>
      <c r="AV14" s="96"/>
      <c r="AW14" s="96"/>
      <c r="AX14" s="96"/>
      <c r="AY14" s="96"/>
      <c r="AZ14" s="114"/>
    </row>
    <row r="15" spans="1:52" s="20" customFormat="1" ht="18.75" customHeight="1">
      <c r="A15" s="20">
        <v>11</v>
      </c>
      <c r="B15" s="239"/>
      <c r="C15" s="22" t="s">
        <v>148</v>
      </c>
      <c r="D15" s="21">
        <f t="shared" si="0"/>
        <v>11</v>
      </c>
      <c r="E15" s="28" t="s">
        <v>149</v>
      </c>
      <c r="F15" s="24" t="s">
        <v>60</v>
      </c>
      <c r="G15" s="21"/>
      <c r="H15" s="21"/>
      <c r="I15" s="24" t="s">
        <v>61</v>
      </c>
      <c r="J15" s="24" t="s">
        <v>62</v>
      </c>
      <c r="K15" s="24" t="s">
        <v>63</v>
      </c>
      <c r="L15" s="22" t="s">
        <v>64</v>
      </c>
      <c r="M15" s="22" t="s">
        <v>150</v>
      </c>
      <c r="N15" s="21" t="s">
        <v>86</v>
      </c>
      <c r="O15" s="21" t="s">
        <v>87</v>
      </c>
      <c r="P15" s="21" t="s">
        <v>68</v>
      </c>
      <c r="Q15" s="21"/>
      <c r="R15" s="21"/>
      <c r="S15" s="21"/>
      <c r="T15" s="21"/>
      <c r="U15" s="21">
        <v>2022</v>
      </c>
      <c r="V15" s="25" t="s">
        <v>69</v>
      </c>
      <c r="W15" s="24" t="s">
        <v>90</v>
      </c>
      <c r="X15" s="21" t="s">
        <v>151</v>
      </c>
      <c r="Y15" s="21" t="s">
        <v>92</v>
      </c>
      <c r="Z15" s="21" t="s">
        <v>152</v>
      </c>
      <c r="AA15" s="21"/>
      <c r="AB15" s="21" t="s">
        <v>94</v>
      </c>
      <c r="AC15" s="21" t="s">
        <v>95</v>
      </c>
      <c r="AD15" s="21" t="s">
        <v>96</v>
      </c>
      <c r="AE15" s="21" t="s">
        <v>74</v>
      </c>
      <c r="AF15" s="22" t="s">
        <v>92</v>
      </c>
      <c r="AG15" s="26" t="s">
        <v>75</v>
      </c>
      <c r="AH15" s="21"/>
      <c r="AI15" s="21"/>
      <c r="AJ15" s="21" t="s">
        <v>76</v>
      </c>
      <c r="AK15" s="21"/>
      <c r="AL15" s="223"/>
      <c r="AM15" s="223"/>
      <c r="AN15" s="223"/>
      <c r="AO15" s="223"/>
      <c r="AP15" s="101"/>
      <c r="AQ15" s="96" t="s">
        <v>77</v>
      </c>
      <c r="AR15" s="96" t="s">
        <v>77</v>
      </c>
      <c r="AS15" s="96" t="s">
        <v>77</v>
      </c>
      <c r="AT15" s="96" t="s">
        <v>77</v>
      </c>
      <c r="AU15" s="96" t="s">
        <v>77</v>
      </c>
      <c r="AV15" s="96" t="s">
        <v>77</v>
      </c>
      <c r="AW15" s="96"/>
      <c r="AX15" s="96" t="s">
        <v>77</v>
      </c>
      <c r="AY15" s="96"/>
      <c r="AZ15" s="114" t="s">
        <v>153</v>
      </c>
    </row>
    <row r="16" spans="1:52" s="20" customFormat="1" ht="18.75" customHeight="1">
      <c r="A16" s="20">
        <v>12</v>
      </c>
      <c r="B16" s="239"/>
      <c r="C16" s="22" t="s">
        <v>154</v>
      </c>
      <c r="D16" s="21">
        <f t="shared" si="0"/>
        <v>12</v>
      </c>
      <c r="E16" s="28" t="s">
        <v>155</v>
      </c>
      <c r="F16" s="24" t="s">
        <v>60</v>
      </c>
      <c r="G16" s="21"/>
      <c r="H16" s="21"/>
      <c r="I16" s="24" t="s">
        <v>61</v>
      </c>
      <c r="J16" s="24" t="s">
        <v>62</v>
      </c>
      <c r="K16" s="24" t="s">
        <v>63</v>
      </c>
      <c r="L16" s="29" t="s">
        <v>64</v>
      </c>
      <c r="M16" s="22" t="s">
        <v>156</v>
      </c>
      <c r="N16" s="21" t="s">
        <v>86</v>
      </c>
      <c r="O16" s="21" t="s">
        <v>87</v>
      </c>
      <c r="P16" s="21" t="s">
        <v>68</v>
      </c>
      <c r="Q16" s="21"/>
      <c r="R16" s="21"/>
      <c r="S16" s="21"/>
      <c r="T16" s="21"/>
      <c r="U16" s="21">
        <v>2021</v>
      </c>
      <c r="V16" s="24" t="s">
        <v>89</v>
      </c>
      <c r="W16" s="24" t="s">
        <v>157</v>
      </c>
      <c r="X16" s="21" t="s">
        <v>158</v>
      </c>
      <c r="Y16" s="21" t="s">
        <v>92</v>
      </c>
      <c r="Z16" s="24" t="s">
        <v>159</v>
      </c>
      <c r="AA16" s="21"/>
      <c r="AB16" s="21" t="s">
        <v>94</v>
      </c>
      <c r="AC16" s="21" t="s">
        <v>95</v>
      </c>
      <c r="AD16" s="113" t="s">
        <v>160</v>
      </c>
      <c r="AE16" s="21"/>
      <c r="AF16" s="22" t="s">
        <v>92</v>
      </c>
      <c r="AG16" s="21" t="s">
        <v>161</v>
      </c>
      <c r="AH16" s="21"/>
      <c r="AI16" s="21"/>
      <c r="AJ16" s="21"/>
      <c r="AK16" s="21"/>
      <c r="AL16" s="223"/>
      <c r="AM16" s="223"/>
      <c r="AN16" s="223"/>
      <c r="AO16" s="223"/>
      <c r="AP16" s="101"/>
      <c r="AQ16" s="96" t="s">
        <v>77</v>
      </c>
      <c r="AR16" s="96" t="s">
        <v>77</v>
      </c>
      <c r="AS16" s="96" t="s">
        <v>77</v>
      </c>
      <c r="AT16" s="96"/>
      <c r="AU16" s="96"/>
      <c r="AV16" s="96"/>
      <c r="AW16" s="96" t="s">
        <v>77</v>
      </c>
      <c r="AX16" s="96"/>
      <c r="AY16" s="96"/>
      <c r="AZ16" s="114"/>
    </row>
    <row r="17" spans="1:52" s="20" customFormat="1" ht="18.75" customHeight="1">
      <c r="A17" s="20">
        <v>13</v>
      </c>
      <c r="B17" s="239" t="s">
        <v>162</v>
      </c>
      <c r="C17" s="22" t="s">
        <v>163</v>
      </c>
      <c r="D17" s="21">
        <f t="shared" si="0"/>
        <v>13</v>
      </c>
      <c r="E17" s="28" t="s">
        <v>164</v>
      </c>
      <c r="F17" s="24" t="s">
        <v>60</v>
      </c>
      <c r="G17" s="21"/>
      <c r="H17" s="21"/>
      <c r="I17" s="24" t="s">
        <v>61</v>
      </c>
      <c r="J17" s="24" t="s">
        <v>62</v>
      </c>
      <c r="K17" s="24" t="s">
        <v>63</v>
      </c>
      <c r="L17" s="22" t="s">
        <v>64</v>
      </c>
      <c r="M17" s="22" t="s">
        <v>165</v>
      </c>
      <c r="N17" s="21" t="s">
        <v>86</v>
      </c>
      <c r="O17" s="21" t="s">
        <v>87</v>
      </c>
      <c r="P17" s="21" t="s">
        <v>68</v>
      </c>
      <c r="Q17" s="21"/>
      <c r="R17" s="21"/>
      <c r="S17" s="21"/>
      <c r="T17" s="21"/>
      <c r="U17" s="21">
        <v>2023</v>
      </c>
      <c r="V17" s="24" t="s">
        <v>89</v>
      </c>
      <c r="W17" s="21" t="s">
        <v>166</v>
      </c>
      <c r="X17" s="21" t="s">
        <v>167</v>
      </c>
      <c r="Y17" s="21" t="s">
        <v>92</v>
      </c>
      <c r="Z17" s="21" t="s">
        <v>168</v>
      </c>
      <c r="AA17" s="21"/>
      <c r="AB17" s="21" t="s">
        <v>94</v>
      </c>
      <c r="AC17" s="21" t="s">
        <v>95</v>
      </c>
      <c r="AD17" s="21" t="s">
        <v>96</v>
      </c>
      <c r="AE17" s="21" t="s">
        <v>169</v>
      </c>
      <c r="AF17" s="22" t="s">
        <v>170</v>
      </c>
      <c r="AG17" s="26" t="s">
        <v>75</v>
      </c>
      <c r="AH17" s="21"/>
      <c r="AI17" s="21"/>
      <c r="AJ17" s="21"/>
      <c r="AK17" s="21"/>
      <c r="AL17" s="223"/>
      <c r="AM17" s="223"/>
      <c r="AN17" s="223"/>
      <c r="AO17" s="223"/>
      <c r="AP17" s="101"/>
      <c r="AQ17" s="96" t="s">
        <v>77</v>
      </c>
      <c r="AR17" s="96"/>
      <c r="AS17" s="96"/>
      <c r="AT17" s="96"/>
      <c r="AU17" s="96"/>
      <c r="AV17" s="96"/>
      <c r="AW17" s="96"/>
      <c r="AX17" s="96"/>
      <c r="AY17" s="96"/>
      <c r="AZ17" s="114"/>
    </row>
    <row r="18" spans="1:52" s="20" customFormat="1" ht="18.75" customHeight="1">
      <c r="A18" s="20">
        <v>14</v>
      </c>
      <c r="B18" s="239"/>
      <c r="C18" s="22" t="s">
        <v>171</v>
      </c>
      <c r="D18" s="21">
        <f t="shared" si="0"/>
        <v>14</v>
      </c>
      <c r="E18" s="28" t="s">
        <v>172</v>
      </c>
      <c r="F18" s="24" t="s">
        <v>60</v>
      </c>
      <c r="G18" s="21"/>
      <c r="H18" s="21"/>
      <c r="I18" s="24" t="s">
        <v>61</v>
      </c>
      <c r="J18" s="24" t="s">
        <v>62</v>
      </c>
      <c r="K18" s="24" t="s">
        <v>63</v>
      </c>
      <c r="L18" s="22" t="s">
        <v>64</v>
      </c>
      <c r="M18" s="29" t="s">
        <v>173</v>
      </c>
      <c r="N18" s="21" t="s">
        <v>86</v>
      </c>
      <c r="O18" s="21" t="s">
        <v>87</v>
      </c>
      <c r="P18" s="21" t="s">
        <v>68</v>
      </c>
      <c r="Q18" s="21"/>
      <c r="R18" s="21"/>
      <c r="S18" s="21"/>
      <c r="T18" s="21"/>
      <c r="U18" s="21">
        <v>2020</v>
      </c>
      <c r="V18" s="25" t="s">
        <v>69</v>
      </c>
      <c r="W18" s="24" t="s">
        <v>174</v>
      </c>
      <c r="X18" s="21" t="s">
        <v>175</v>
      </c>
      <c r="Y18" s="24" t="s">
        <v>100</v>
      </c>
      <c r="Z18" s="24" t="s">
        <v>100</v>
      </c>
      <c r="AA18" s="24"/>
      <c r="AB18" s="26" t="s">
        <v>72</v>
      </c>
      <c r="AC18" s="21"/>
      <c r="AD18" s="21" t="s">
        <v>121</v>
      </c>
      <c r="AE18" s="21" t="s">
        <v>121</v>
      </c>
      <c r="AF18" s="29" t="s">
        <v>176</v>
      </c>
      <c r="AG18" s="21" t="s">
        <v>121</v>
      </c>
      <c r="AH18" s="21"/>
      <c r="AI18" s="21"/>
      <c r="AJ18" s="21"/>
      <c r="AK18" s="21"/>
      <c r="AL18" s="223"/>
      <c r="AM18" s="223"/>
      <c r="AN18" s="223"/>
      <c r="AO18" s="223"/>
      <c r="AP18" s="101"/>
      <c r="AQ18" s="96"/>
      <c r="AR18" s="96" t="s">
        <v>77</v>
      </c>
      <c r="AS18" s="96" t="s">
        <v>77</v>
      </c>
      <c r="AT18" s="96"/>
      <c r="AU18" s="96"/>
      <c r="AV18" s="96"/>
      <c r="AW18" s="96"/>
      <c r="AX18" s="96" t="s">
        <v>77</v>
      </c>
      <c r="AY18" s="96"/>
      <c r="AZ18" s="114" t="s">
        <v>177</v>
      </c>
    </row>
    <row r="19" spans="1:52" s="34" customFormat="1" ht="18.75" customHeight="1">
      <c r="A19" s="34">
        <v>15</v>
      </c>
      <c r="B19" s="239" t="s">
        <v>178</v>
      </c>
      <c r="C19" s="35" t="s">
        <v>179</v>
      </c>
      <c r="D19" s="37">
        <f t="shared" si="0"/>
        <v>15</v>
      </c>
      <c r="E19" s="38" t="s">
        <v>180</v>
      </c>
      <c r="F19" s="36" t="s">
        <v>60</v>
      </c>
      <c r="G19" s="37"/>
      <c r="H19" s="37"/>
      <c r="I19" s="36" t="s">
        <v>61</v>
      </c>
      <c r="J19" s="36" t="s">
        <v>62</v>
      </c>
      <c r="K19" s="36" t="s">
        <v>63</v>
      </c>
      <c r="L19" s="35" t="s">
        <v>109</v>
      </c>
      <c r="M19" s="35" t="s">
        <v>181</v>
      </c>
      <c r="N19" s="37" t="s">
        <v>86</v>
      </c>
      <c r="O19" s="37" t="s">
        <v>87</v>
      </c>
      <c r="P19" s="21" t="s">
        <v>68</v>
      </c>
      <c r="Q19" s="37"/>
      <c r="R19" s="37"/>
      <c r="S19" s="37"/>
      <c r="T19" s="37"/>
      <c r="U19" s="37">
        <v>2017</v>
      </c>
      <c r="V19" s="37" t="s">
        <v>69</v>
      </c>
      <c r="W19" s="37"/>
      <c r="X19" s="37"/>
      <c r="Y19" s="37"/>
      <c r="Z19" s="37"/>
      <c r="AA19" s="37"/>
      <c r="AB19" s="37" t="s">
        <v>94</v>
      </c>
      <c r="AC19" s="37" t="s">
        <v>95</v>
      </c>
      <c r="AD19" s="37" t="s">
        <v>96</v>
      </c>
      <c r="AE19" s="37" t="s">
        <v>74</v>
      </c>
      <c r="AF19" s="52" t="s">
        <v>182</v>
      </c>
      <c r="AG19" s="39" t="s">
        <v>75</v>
      </c>
      <c r="AH19" s="37"/>
      <c r="AI19" s="37"/>
      <c r="AJ19" s="37"/>
      <c r="AK19" s="37"/>
      <c r="AL19" s="225"/>
      <c r="AM19" s="225"/>
      <c r="AN19" s="225"/>
      <c r="AO19" s="225"/>
      <c r="AP19" s="100"/>
      <c r="AQ19" s="98" t="s">
        <v>77</v>
      </c>
      <c r="AR19" s="98"/>
      <c r="AS19" s="98"/>
      <c r="AT19" s="98"/>
      <c r="AU19" s="98"/>
      <c r="AV19" s="98"/>
      <c r="AW19" s="98"/>
      <c r="AX19" s="98"/>
      <c r="AY19" s="98"/>
      <c r="AZ19" s="116"/>
    </row>
    <row r="20" spans="1:52" s="20" customFormat="1" ht="18.75" customHeight="1">
      <c r="A20" s="20">
        <v>16</v>
      </c>
      <c r="B20" s="239"/>
      <c r="C20" s="22" t="s">
        <v>183</v>
      </c>
      <c r="D20" s="21">
        <f t="shared" si="0"/>
        <v>16</v>
      </c>
      <c r="E20" s="28" t="s">
        <v>184</v>
      </c>
      <c r="F20" s="24" t="s">
        <v>60</v>
      </c>
      <c r="G20" s="21"/>
      <c r="H20" s="21"/>
      <c r="I20" s="24" t="s">
        <v>61</v>
      </c>
      <c r="J20" s="24" t="s">
        <v>62</v>
      </c>
      <c r="K20" s="24" t="s">
        <v>63</v>
      </c>
      <c r="L20" s="22" t="s">
        <v>109</v>
      </c>
      <c r="M20" s="22" t="s">
        <v>185</v>
      </c>
      <c r="N20" s="21" t="s">
        <v>86</v>
      </c>
      <c r="O20" s="21" t="s">
        <v>87</v>
      </c>
      <c r="P20" s="21" t="s">
        <v>186</v>
      </c>
      <c r="Q20" s="21"/>
      <c r="R20" s="21"/>
      <c r="S20" s="21"/>
      <c r="T20" s="21"/>
      <c r="U20" s="21">
        <v>2020</v>
      </c>
      <c r="V20" s="25" t="s">
        <v>69</v>
      </c>
      <c r="W20" s="21" t="s">
        <v>100</v>
      </c>
      <c r="X20" s="21" t="s">
        <v>100</v>
      </c>
      <c r="Y20" s="113" t="s">
        <v>70</v>
      </c>
      <c r="Z20" s="113" t="s">
        <v>71</v>
      </c>
      <c r="AA20" s="21"/>
      <c r="AB20" s="21" t="s">
        <v>72</v>
      </c>
      <c r="AC20" s="21"/>
      <c r="AD20" s="21" t="s">
        <v>121</v>
      </c>
      <c r="AE20" s="21" t="s">
        <v>74</v>
      </c>
      <c r="AF20" s="22" t="s">
        <v>71</v>
      </c>
      <c r="AG20" s="26" t="s">
        <v>75</v>
      </c>
      <c r="AH20" s="21"/>
      <c r="AI20" s="21"/>
      <c r="AJ20" s="21"/>
      <c r="AK20" s="21"/>
      <c r="AL20" s="223"/>
      <c r="AM20" s="223"/>
      <c r="AN20" s="223"/>
      <c r="AO20" s="223"/>
      <c r="AP20" s="101" t="s">
        <v>187</v>
      </c>
      <c r="AQ20" s="96"/>
      <c r="AR20" s="96" t="s">
        <v>77</v>
      </c>
      <c r="AS20" s="96"/>
      <c r="AT20" s="96"/>
      <c r="AU20" s="96"/>
      <c r="AV20" s="96"/>
      <c r="AW20" s="96"/>
      <c r="AX20" s="96" t="s">
        <v>77</v>
      </c>
      <c r="AY20" s="96"/>
      <c r="AZ20" s="114" t="s">
        <v>177</v>
      </c>
    </row>
    <row r="21" spans="1:52" s="20" customFormat="1" ht="18.75" customHeight="1">
      <c r="A21" s="20">
        <v>17</v>
      </c>
      <c r="B21" s="239"/>
      <c r="C21" s="22" t="s">
        <v>188</v>
      </c>
      <c r="D21" s="21">
        <v>17</v>
      </c>
      <c r="E21" s="28" t="s">
        <v>189</v>
      </c>
      <c r="F21" s="24" t="s">
        <v>60</v>
      </c>
      <c r="G21" s="21"/>
      <c r="H21" s="21"/>
      <c r="I21" s="24" t="s">
        <v>61</v>
      </c>
      <c r="J21" s="24" t="s">
        <v>62</v>
      </c>
      <c r="K21" s="24" t="s">
        <v>63</v>
      </c>
      <c r="L21" s="22" t="s">
        <v>109</v>
      </c>
      <c r="M21" s="22" t="s">
        <v>190</v>
      </c>
      <c r="N21" s="21" t="s">
        <v>86</v>
      </c>
      <c r="O21" s="21" t="s">
        <v>87</v>
      </c>
      <c r="P21" s="21" t="s">
        <v>186</v>
      </c>
      <c r="Q21" s="21"/>
      <c r="R21" s="21"/>
      <c r="S21" s="21"/>
      <c r="T21" s="21"/>
      <c r="U21" s="21">
        <v>2021</v>
      </c>
      <c r="V21" s="25" t="s">
        <v>69</v>
      </c>
      <c r="W21" s="21" t="s">
        <v>157</v>
      </c>
      <c r="X21" s="21" t="s">
        <v>191</v>
      </c>
      <c r="Y21" s="21" t="s">
        <v>92</v>
      </c>
      <c r="Z21" s="21" t="s">
        <v>192</v>
      </c>
      <c r="AA21" s="21"/>
      <c r="AB21" s="26" t="s">
        <v>72</v>
      </c>
      <c r="AC21" s="21"/>
      <c r="AD21" s="21" t="s">
        <v>96</v>
      </c>
      <c r="AE21" s="21" t="s">
        <v>74</v>
      </c>
      <c r="AF21" s="22" t="s">
        <v>92</v>
      </c>
      <c r="AG21" s="26" t="s">
        <v>75</v>
      </c>
      <c r="AH21" s="21"/>
      <c r="AI21" s="21"/>
      <c r="AJ21" s="21"/>
      <c r="AK21" s="21"/>
      <c r="AL21" s="223"/>
      <c r="AM21" s="223"/>
      <c r="AN21" s="223"/>
      <c r="AO21" s="223"/>
      <c r="AP21" s="101"/>
      <c r="AQ21" s="96"/>
      <c r="AR21" s="96" t="s">
        <v>77</v>
      </c>
      <c r="AS21" s="96"/>
      <c r="AT21" s="96"/>
      <c r="AU21" s="96"/>
      <c r="AV21" s="96"/>
      <c r="AW21" s="96"/>
      <c r="AX21" s="96"/>
      <c r="AY21" s="96"/>
      <c r="AZ21" s="114"/>
    </row>
    <row r="22" spans="1:52" s="34" customFormat="1" ht="18.75" customHeight="1">
      <c r="A22" s="34" t="s">
        <v>193</v>
      </c>
      <c r="B22" s="240"/>
      <c r="C22" s="35" t="s">
        <v>194</v>
      </c>
      <c r="D22" s="37" t="str">
        <f t="shared" si="0"/>
        <v>제외_1</v>
      </c>
      <c r="E22" s="35" t="s">
        <v>195</v>
      </c>
      <c r="F22" s="36" t="s">
        <v>60</v>
      </c>
      <c r="G22" s="37"/>
      <c r="H22" s="37"/>
      <c r="I22" s="36"/>
      <c r="J22" s="36"/>
      <c r="K22" s="36"/>
      <c r="L22" s="35"/>
      <c r="M22" s="35"/>
      <c r="N22" s="37"/>
      <c r="O22" s="37"/>
      <c r="P22" s="21"/>
      <c r="Q22" s="37"/>
      <c r="R22" s="37"/>
      <c r="S22" s="37"/>
      <c r="T22" s="37"/>
      <c r="U22" s="37"/>
      <c r="V22" s="37"/>
      <c r="W22" s="37"/>
      <c r="X22" s="37"/>
      <c r="Y22" s="37"/>
      <c r="Z22" s="37"/>
      <c r="AA22" s="37"/>
      <c r="AB22" s="37"/>
      <c r="AC22" s="37"/>
      <c r="AD22" s="37"/>
      <c r="AE22" s="37"/>
      <c r="AF22" s="35"/>
      <c r="AG22" s="37"/>
      <c r="AH22" s="37"/>
      <c r="AI22" s="37"/>
      <c r="AJ22" s="37"/>
      <c r="AK22" s="37"/>
      <c r="AL22" s="225"/>
      <c r="AM22" s="225"/>
      <c r="AN22" s="225"/>
      <c r="AO22" s="225"/>
      <c r="AP22" s="100"/>
      <c r="AQ22" s="98"/>
      <c r="AR22" s="98"/>
      <c r="AS22" s="98"/>
      <c r="AT22" s="98"/>
      <c r="AU22" s="98"/>
      <c r="AV22" s="98"/>
      <c r="AW22" s="98"/>
      <c r="AX22" s="98"/>
      <c r="AY22" s="98"/>
      <c r="AZ22" s="116"/>
    </row>
    <row r="23" spans="1:52" s="34" customFormat="1" ht="18.75" customHeight="1">
      <c r="A23" s="34" t="s">
        <v>196</v>
      </c>
      <c r="B23" s="240"/>
      <c r="C23" s="35" t="s">
        <v>197</v>
      </c>
      <c r="D23" s="37" t="str">
        <f t="shared" si="0"/>
        <v>제외_2</v>
      </c>
      <c r="E23" s="35" t="s">
        <v>195</v>
      </c>
      <c r="F23" s="36" t="s">
        <v>60</v>
      </c>
      <c r="G23" s="37"/>
      <c r="H23" s="37"/>
      <c r="I23" s="36"/>
      <c r="J23" s="36"/>
      <c r="K23" s="36"/>
      <c r="L23" s="35"/>
      <c r="M23" s="35"/>
      <c r="N23" s="37"/>
      <c r="O23" s="37"/>
      <c r="P23" s="21"/>
      <c r="Q23" s="37"/>
      <c r="R23" s="37"/>
      <c r="S23" s="37"/>
      <c r="T23" s="37"/>
      <c r="U23" s="37"/>
      <c r="V23" s="37"/>
      <c r="W23" s="37"/>
      <c r="X23" s="37"/>
      <c r="Y23" s="37"/>
      <c r="Z23" s="37"/>
      <c r="AA23" s="37"/>
      <c r="AB23" s="37"/>
      <c r="AC23" s="37"/>
      <c r="AD23" s="37"/>
      <c r="AE23" s="37"/>
      <c r="AF23" s="35"/>
      <c r="AG23" s="37"/>
      <c r="AH23" s="37"/>
      <c r="AI23" s="37"/>
      <c r="AJ23" s="37"/>
      <c r="AK23" s="37"/>
      <c r="AL23" s="225"/>
      <c r="AM23" s="225"/>
      <c r="AN23" s="225"/>
      <c r="AO23" s="225"/>
      <c r="AP23" s="100"/>
      <c r="AQ23" s="98"/>
      <c r="AR23" s="98"/>
      <c r="AS23" s="98"/>
      <c r="AT23" s="98"/>
      <c r="AU23" s="98"/>
      <c r="AV23" s="98"/>
      <c r="AW23" s="98"/>
      <c r="AX23" s="98"/>
      <c r="AY23" s="98"/>
      <c r="AZ23" s="116"/>
    </row>
    <row r="24" spans="1:52" s="20" customFormat="1" ht="18.75" customHeight="1">
      <c r="A24" s="20">
        <v>18</v>
      </c>
      <c r="B24" s="239"/>
      <c r="C24" s="22" t="s">
        <v>198</v>
      </c>
      <c r="D24" s="21">
        <f t="shared" si="0"/>
        <v>18</v>
      </c>
      <c r="E24" s="28" t="s">
        <v>199</v>
      </c>
      <c r="F24" s="24" t="s">
        <v>60</v>
      </c>
      <c r="G24" s="21"/>
      <c r="H24" s="21"/>
      <c r="I24" s="24" t="s">
        <v>61</v>
      </c>
      <c r="J24" s="24" t="s">
        <v>62</v>
      </c>
      <c r="K24" s="24" t="s">
        <v>63</v>
      </c>
      <c r="L24" s="22" t="s">
        <v>109</v>
      </c>
      <c r="M24" s="22" t="s">
        <v>190</v>
      </c>
      <c r="N24" s="21" t="s">
        <v>86</v>
      </c>
      <c r="O24" s="21" t="s">
        <v>87</v>
      </c>
      <c r="P24" s="21" t="s">
        <v>186</v>
      </c>
      <c r="Q24" s="21"/>
      <c r="R24" s="21"/>
      <c r="S24" s="21"/>
      <c r="T24" s="21"/>
      <c r="U24" s="21">
        <v>2020</v>
      </c>
      <c r="V24" s="25" t="s">
        <v>69</v>
      </c>
      <c r="W24" s="21" t="s">
        <v>200</v>
      </c>
      <c r="X24" s="21" t="s">
        <v>100</v>
      </c>
      <c r="Y24" s="21" t="s">
        <v>92</v>
      </c>
      <c r="Z24" s="21" t="s">
        <v>201</v>
      </c>
      <c r="AA24" s="21"/>
      <c r="AB24" s="21" t="s">
        <v>94</v>
      </c>
      <c r="AC24" s="21" t="s">
        <v>95</v>
      </c>
      <c r="AD24" s="21" t="s">
        <v>121</v>
      </c>
      <c r="AE24" s="21" t="s">
        <v>74</v>
      </c>
      <c r="AF24" s="22" t="s">
        <v>202</v>
      </c>
      <c r="AG24" s="26" t="s">
        <v>75</v>
      </c>
      <c r="AH24" s="21"/>
      <c r="AI24" s="21"/>
      <c r="AJ24" s="21"/>
      <c r="AK24" s="21"/>
      <c r="AL24" s="223"/>
      <c r="AM24" s="223"/>
      <c r="AN24" s="223"/>
      <c r="AO24" s="223"/>
      <c r="AP24" s="101"/>
      <c r="AQ24" s="96"/>
      <c r="AR24" s="96" t="s">
        <v>77</v>
      </c>
      <c r="AS24" s="96" t="s">
        <v>77</v>
      </c>
      <c r="AT24" s="96"/>
      <c r="AU24" s="96"/>
      <c r="AV24" s="96"/>
      <c r="AW24" s="96"/>
      <c r="AX24" s="96" t="s">
        <v>77</v>
      </c>
      <c r="AY24" s="96"/>
      <c r="AZ24" s="114" t="s">
        <v>177</v>
      </c>
    </row>
    <row r="25" spans="1:52" s="20" customFormat="1" ht="18.75" customHeight="1">
      <c r="A25" s="20">
        <v>19</v>
      </c>
      <c r="B25" s="239"/>
      <c r="C25" s="22" t="s">
        <v>203</v>
      </c>
      <c r="D25" s="21">
        <f t="shared" si="0"/>
        <v>19</v>
      </c>
      <c r="E25" s="28" t="s">
        <v>204</v>
      </c>
      <c r="F25" s="24" t="s">
        <v>60</v>
      </c>
      <c r="G25" s="21"/>
      <c r="H25" s="21"/>
      <c r="I25" s="24" t="s">
        <v>61</v>
      </c>
      <c r="J25" s="24" t="s">
        <v>62</v>
      </c>
      <c r="K25" s="24" t="s">
        <v>63</v>
      </c>
      <c r="L25" s="22" t="s">
        <v>109</v>
      </c>
      <c r="M25" s="22" t="s">
        <v>190</v>
      </c>
      <c r="N25" s="21" t="s">
        <v>86</v>
      </c>
      <c r="O25" s="21" t="s">
        <v>87</v>
      </c>
      <c r="P25" s="21" t="s">
        <v>186</v>
      </c>
      <c r="Q25" s="21"/>
      <c r="R25" s="21"/>
      <c r="S25" s="21"/>
      <c r="T25" s="21"/>
      <c r="U25" s="21">
        <v>2020</v>
      </c>
      <c r="V25" s="25" t="s">
        <v>69</v>
      </c>
      <c r="W25" s="21" t="s">
        <v>205</v>
      </c>
      <c r="X25" s="24" t="s">
        <v>206</v>
      </c>
      <c r="Y25" s="21" t="s">
        <v>92</v>
      </c>
      <c r="Z25" s="21" t="s">
        <v>207</v>
      </c>
      <c r="AA25" s="21"/>
      <c r="AB25" s="26" t="s">
        <v>72</v>
      </c>
      <c r="AC25" s="21"/>
      <c r="AD25" s="21" t="s">
        <v>121</v>
      </c>
      <c r="AE25" s="21" t="s">
        <v>74</v>
      </c>
      <c r="AF25" s="22" t="s">
        <v>202</v>
      </c>
      <c r="AG25" s="26" t="s">
        <v>75</v>
      </c>
      <c r="AH25" s="21"/>
      <c r="AI25" s="21"/>
      <c r="AJ25" s="21"/>
      <c r="AK25" s="21"/>
      <c r="AL25" s="223"/>
      <c r="AM25" s="223"/>
      <c r="AN25" s="223"/>
      <c r="AO25" s="223"/>
      <c r="AP25" s="101"/>
      <c r="AQ25" s="96"/>
      <c r="AR25" s="96" t="s">
        <v>77</v>
      </c>
      <c r="AS25" s="96"/>
      <c r="AT25" s="96"/>
      <c r="AU25" s="96"/>
      <c r="AV25" s="96"/>
      <c r="AW25" s="96"/>
      <c r="AX25" s="96"/>
      <c r="AY25" s="96"/>
      <c r="AZ25" s="114"/>
    </row>
    <row r="26" spans="1:52" s="20" customFormat="1" ht="18.75" customHeight="1">
      <c r="A26" s="20">
        <v>20</v>
      </c>
      <c r="B26" s="239"/>
      <c r="C26" s="22" t="s">
        <v>208</v>
      </c>
      <c r="D26" s="21">
        <f t="shared" si="0"/>
        <v>20</v>
      </c>
      <c r="E26" s="28" t="s">
        <v>209</v>
      </c>
      <c r="F26" s="24" t="s">
        <v>60</v>
      </c>
      <c r="G26" s="21"/>
      <c r="H26" s="21"/>
      <c r="I26" s="24" t="s">
        <v>61</v>
      </c>
      <c r="J26" s="24" t="s">
        <v>62</v>
      </c>
      <c r="K26" s="24" t="s">
        <v>63</v>
      </c>
      <c r="L26" s="22" t="s">
        <v>109</v>
      </c>
      <c r="M26" s="22" t="s">
        <v>210</v>
      </c>
      <c r="N26" s="21" t="s">
        <v>86</v>
      </c>
      <c r="O26" s="21" t="s">
        <v>87</v>
      </c>
      <c r="P26" s="21" t="s">
        <v>211</v>
      </c>
      <c r="Q26" s="21"/>
      <c r="R26" s="21"/>
      <c r="S26" s="21"/>
      <c r="T26" s="21"/>
      <c r="U26" s="21">
        <v>2006</v>
      </c>
      <c r="V26" s="25" t="s">
        <v>69</v>
      </c>
      <c r="W26" s="113" t="s">
        <v>212</v>
      </c>
      <c r="X26" s="113" t="s">
        <v>213</v>
      </c>
      <c r="Y26" s="113" t="s">
        <v>212</v>
      </c>
      <c r="Z26" s="113" t="s">
        <v>213</v>
      </c>
      <c r="AA26" s="22"/>
      <c r="AB26" s="26" t="s">
        <v>72</v>
      </c>
      <c r="AC26" s="21"/>
      <c r="AD26" s="113" t="s">
        <v>120</v>
      </c>
      <c r="AF26" s="21" t="s">
        <v>212</v>
      </c>
      <c r="AG26" s="21" t="s">
        <v>214</v>
      </c>
      <c r="AH26" s="21"/>
      <c r="AI26" s="21"/>
      <c r="AJ26" s="21"/>
      <c r="AK26" s="21"/>
      <c r="AL26" s="223"/>
      <c r="AM26" s="223"/>
      <c r="AN26" s="223"/>
      <c r="AO26" s="223"/>
      <c r="AP26" s="101"/>
      <c r="AQ26" s="96"/>
      <c r="AR26" s="96"/>
      <c r="AS26" s="96"/>
      <c r="AT26" s="96"/>
      <c r="AU26" s="96" t="s">
        <v>77</v>
      </c>
      <c r="AV26" s="96"/>
      <c r="AW26" s="96"/>
      <c r="AX26" s="96"/>
      <c r="AY26" s="96"/>
      <c r="AZ26" s="114"/>
    </row>
    <row r="27" spans="1:52" s="20" customFormat="1" ht="18.75" customHeight="1">
      <c r="A27" s="20">
        <v>21</v>
      </c>
      <c r="B27" s="239"/>
      <c r="C27" s="22" t="s">
        <v>215</v>
      </c>
      <c r="D27" s="21">
        <f t="shared" si="0"/>
        <v>21</v>
      </c>
      <c r="E27" s="28" t="s">
        <v>216</v>
      </c>
      <c r="F27" s="24" t="s">
        <v>60</v>
      </c>
      <c r="G27" s="21"/>
      <c r="H27" s="21"/>
      <c r="I27" s="24" t="s">
        <v>61</v>
      </c>
      <c r="J27" s="24" t="s">
        <v>82</v>
      </c>
      <c r="K27" s="24" t="s">
        <v>83</v>
      </c>
      <c r="L27" s="22" t="s">
        <v>84</v>
      </c>
      <c r="M27" s="22" t="s">
        <v>131</v>
      </c>
      <c r="N27" s="21" t="s">
        <v>86</v>
      </c>
      <c r="O27" s="21" t="s">
        <v>87</v>
      </c>
      <c r="P27" s="21" t="s">
        <v>211</v>
      </c>
      <c r="Q27" s="21"/>
      <c r="R27" s="21"/>
      <c r="S27" s="21"/>
      <c r="T27" s="21"/>
      <c r="U27" s="21">
        <v>2020</v>
      </c>
      <c r="V27" s="25" t="s">
        <v>69</v>
      </c>
      <c r="W27" s="21" t="s">
        <v>157</v>
      </c>
      <c r="X27" s="21" t="s">
        <v>217</v>
      </c>
      <c r="Y27" s="21" t="s">
        <v>92</v>
      </c>
      <c r="Z27" s="21" t="s">
        <v>192</v>
      </c>
      <c r="AA27" s="21"/>
      <c r="AB27" s="21" t="s">
        <v>94</v>
      </c>
      <c r="AC27" s="21" t="s">
        <v>95</v>
      </c>
      <c r="AD27" s="21" t="s">
        <v>96</v>
      </c>
      <c r="AE27" s="21" t="s">
        <v>74</v>
      </c>
      <c r="AF27" s="22" t="s">
        <v>202</v>
      </c>
      <c r="AG27" s="26" t="s">
        <v>75</v>
      </c>
      <c r="AH27" s="21"/>
      <c r="AI27" s="21"/>
      <c r="AJ27" s="21"/>
      <c r="AK27" s="21"/>
      <c r="AL27" s="223"/>
      <c r="AM27" s="223"/>
      <c r="AN27" s="223"/>
      <c r="AO27" s="223"/>
      <c r="AP27" s="101"/>
      <c r="AQ27" s="96" t="s">
        <v>77</v>
      </c>
      <c r="AR27" s="96" t="s">
        <v>77</v>
      </c>
      <c r="AS27" s="96"/>
      <c r="AT27" s="96"/>
      <c r="AU27" s="96"/>
      <c r="AV27" s="96"/>
      <c r="AW27" s="96"/>
      <c r="AX27" s="96"/>
      <c r="AY27" s="96"/>
      <c r="AZ27" s="114"/>
    </row>
    <row r="28" spans="1:52" s="20" customFormat="1" ht="18.75" customHeight="1">
      <c r="A28" s="20">
        <v>22</v>
      </c>
      <c r="B28" s="239"/>
      <c r="C28" s="22" t="s">
        <v>218</v>
      </c>
      <c r="D28" s="21">
        <f t="shared" si="0"/>
        <v>22</v>
      </c>
      <c r="E28" s="28" t="s">
        <v>219</v>
      </c>
      <c r="F28" s="24" t="s">
        <v>60</v>
      </c>
      <c r="G28" s="21"/>
      <c r="H28" s="21"/>
      <c r="I28" s="24" t="s">
        <v>61</v>
      </c>
      <c r="J28" s="24" t="s">
        <v>62</v>
      </c>
      <c r="K28" s="24" t="s">
        <v>63</v>
      </c>
      <c r="L28" s="22" t="s">
        <v>109</v>
      </c>
      <c r="M28" s="22" t="s">
        <v>220</v>
      </c>
      <c r="N28" s="21" t="s">
        <v>86</v>
      </c>
      <c r="O28" s="21" t="s">
        <v>87</v>
      </c>
      <c r="P28" s="21" t="s">
        <v>186</v>
      </c>
      <c r="Q28" s="21"/>
      <c r="R28" s="21"/>
      <c r="S28" s="21"/>
      <c r="T28" s="21"/>
      <c r="U28" s="21">
        <v>2021</v>
      </c>
      <c r="V28" s="24" t="s">
        <v>89</v>
      </c>
      <c r="W28" s="21" t="s">
        <v>221</v>
      </c>
      <c r="X28" s="21" t="s">
        <v>222</v>
      </c>
      <c r="Y28" s="21" t="s">
        <v>223</v>
      </c>
      <c r="Z28" s="21" t="s">
        <v>224</v>
      </c>
      <c r="AA28" s="21"/>
      <c r="AB28" s="26" t="s">
        <v>72</v>
      </c>
      <c r="AC28" s="21"/>
      <c r="AD28" s="21" t="s">
        <v>73</v>
      </c>
      <c r="AE28" s="21" t="s">
        <v>121</v>
      </c>
      <c r="AF28" s="22" t="s">
        <v>202</v>
      </c>
      <c r="AG28" s="21" t="s">
        <v>121</v>
      </c>
      <c r="AH28" s="21"/>
      <c r="AI28" s="21"/>
      <c r="AJ28" s="21"/>
      <c r="AK28" s="21"/>
      <c r="AL28" s="223"/>
      <c r="AM28" s="223"/>
      <c r="AN28" s="223"/>
      <c r="AO28" s="223"/>
      <c r="AP28" s="101"/>
      <c r="AQ28" s="96"/>
      <c r="AR28" s="96" t="s">
        <v>77</v>
      </c>
      <c r="AS28" s="96"/>
      <c r="AT28" s="96"/>
      <c r="AU28" s="96"/>
      <c r="AV28" s="96"/>
      <c r="AW28" s="96"/>
      <c r="AX28" s="96"/>
      <c r="AY28" s="96"/>
      <c r="AZ28" s="114"/>
    </row>
    <row r="29" spans="1:52" s="20" customFormat="1" ht="18.75" customHeight="1">
      <c r="A29" s="20">
        <v>23</v>
      </c>
      <c r="B29" s="239"/>
      <c r="C29" s="22" t="s">
        <v>225</v>
      </c>
      <c r="D29" s="21">
        <f t="shared" si="0"/>
        <v>23</v>
      </c>
      <c r="E29" s="28" t="s">
        <v>226</v>
      </c>
      <c r="F29" s="24" t="s">
        <v>60</v>
      </c>
      <c r="G29" s="21"/>
      <c r="H29" s="21"/>
      <c r="I29" s="24" t="s">
        <v>61</v>
      </c>
      <c r="J29" s="24" t="s">
        <v>62</v>
      </c>
      <c r="K29" s="24" t="s">
        <v>63</v>
      </c>
      <c r="L29" s="22" t="s">
        <v>109</v>
      </c>
      <c r="M29" s="29" t="s">
        <v>117</v>
      </c>
      <c r="N29" s="21" t="s">
        <v>86</v>
      </c>
      <c r="O29" s="21" t="s">
        <v>87</v>
      </c>
      <c r="P29" s="21" t="s">
        <v>186</v>
      </c>
      <c r="Q29" s="21"/>
      <c r="R29" s="21"/>
      <c r="S29" s="21"/>
      <c r="T29" s="21"/>
      <c r="U29" s="21">
        <v>2015</v>
      </c>
      <c r="V29" s="25" t="s">
        <v>69</v>
      </c>
      <c r="W29" s="113" t="s">
        <v>227</v>
      </c>
      <c r="X29" s="113" t="s">
        <v>228</v>
      </c>
      <c r="Y29" s="113" t="s">
        <v>229</v>
      </c>
      <c r="Z29" s="113" t="s">
        <v>230</v>
      </c>
      <c r="AA29" s="21"/>
      <c r="AB29" s="26" t="s">
        <v>72</v>
      </c>
      <c r="AC29" s="21"/>
      <c r="AD29" s="21" t="s">
        <v>231</v>
      </c>
      <c r="AE29" s="21" t="s">
        <v>74</v>
      </c>
      <c r="AF29" s="22" t="s">
        <v>228</v>
      </c>
      <c r="AG29" s="26" t="s">
        <v>75</v>
      </c>
      <c r="AH29" s="21"/>
      <c r="AI29" s="21"/>
      <c r="AJ29" s="21"/>
      <c r="AK29" s="21" t="s">
        <v>97</v>
      </c>
      <c r="AL29" s="223"/>
      <c r="AM29" s="223"/>
      <c r="AN29" s="223"/>
      <c r="AO29" s="223"/>
      <c r="AP29" s="101"/>
      <c r="AQ29" s="96"/>
      <c r="AR29" s="96" t="s">
        <v>77</v>
      </c>
      <c r="AS29" s="96"/>
      <c r="AT29" s="96"/>
      <c r="AU29" s="96"/>
      <c r="AV29" s="96"/>
      <c r="AW29" s="96"/>
      <c r="AX29" s="96"/>
      <c r="AY29" s="96"/>
      <c r="AZ29" s="114"/>
    </row>
    <row r="30" spans="1:52" s="20" customFormat="1" ht="18.75" customHeight="1">
      <c r="A30" s="20">
        <v>24</v>
      </c>
      <c r="B30" s="239"/>
      <c r="C30" s="22" t="s">
        <v>232</v>
      </c>
      <c r="D30" s="21">
        <f t="shared" si="0"/>
        <v>24</v>
      </c>
      <c r="E30" s="28" t="s">
        <v>233</v>
      </c>
      <c r="F30" s="24" t="s">
        <v>60</v>
      </c>
      <c r="G30" s="21"/>
      <c r="H30" s="21"/>
      <c r="I30" s="24" t="s">
        <v>61</v>
      </c>
      <c r="J30" s="24" t="s">
        <v>62</v>
      </c>
      <c r="K30" s="24" t="s">
        <v>63</v>
      </c>
      <c r="L30" s="22" t="s">
        <v>109</v>
      </c>
      <c r="M30" s="22" t="s">
        <v>190</v>
      </c>
      <c r="N30" s="21" t="s">
        <v>86</v>
      </c>
      <c r="O30" s="21" t="s">
        <v>87</v>
      </c>
      <c r="P30" s="21" t="s">
        <v>186</v>
      </c>
      <c r="Q30" s="21"/>
      <c r="R30" s="21"/>
      <c r="S30" s="21"/>
      <c r="T30" s="21"/>
      <c r="U30" s="21">
        <v>2015</v>
      </c>
      <c r="V30" s="25" t="s">
        <v>69</v>
      </c>
      <c r="W30" s="21" t="s">
        <v>205</v>
      </c>
      <c r="X30" s="24" t="s">
        <v>234</v>
      </c>
      <c r="Y30" s="21" t="s">
        <v>92</v>
      </c>
      <c r="Z30" s="21" t="s">
        <v>207</v>
      </c>
      <c r="AA30" s="21"/>
      <c r="AB30" s="26" t="s">
        <v>72</v>
      </c>
      <c r="AC30" s="21"/>
      <c r="AD30" s="21" t="s">
        <v>235</v>
      </c>
      <c r="AE30" s="21" t="s">
        <v>74</v>
      </c>
      <c r="AF30" s="22" t="s">
        <v>202</v>
      </c>
      <c r="AG30" s="26" t="s">
        <v>75</v>
      </c>
      <c r="AH30" s="21"/>
      <c r="AI30" s="21"/>
      <c r="AJ30" s="21" t="s">
        <v>76</v>
      </c>
      <c r="AK30" s="21"/>
      <c r="AL30" s="223"/>
      <c r="AM30" s="223"/>
      <c r="AN30" s="223"/>
      <c r="AO30" s="223"/>
      <c r="AP30" s="101"/>
      <c r="AQ30" s="96"/>
      <c r="AR30" s="96" t="s">
        <v>77</v>
      </c>
      <c r="AS30" s="96"/>
      <c r="AT30" s="96"/>
      <c r="AU30" s="96"/>
      <c r="AV30" s="96"/>
      <c r="AW30" s="96"/>
      <c r="AX30" s="96"/>
      <c r="AY30" s="96"/>
      <c r="AZ30" s="114"/>
    </row>
    <row r="31" spans="1:52" s="20" customFormat="1" ht="18.75" customHeight="1">
      <c r="A31" s="20">
        <v>25</v>
      </c>
      <c r="B31" s="239"/>
      <c r="C31" s="22" t="s">
        <v>236</v>
      </c>
      <c r="D31" s="21">
        <f t="shared" si="0"/>
        <v>25</v>
      </c>
      <c r="E31" s="28" t="s">
        <v>237</v>
      </c>
      <c r="F31" s="24" t="s">
        <v>60</v>
      </c>
      <c r="G31" s="21"/>
      <c r="H31" s="21"/>
      <c r="I31" s="24" t="s">
        <v>61</v>
      </c>
      <c r="J31" s="24" t="s">
        <v>62</v>
      </c>
      <c r="K31" s="24" t="s">
        <v>63</v>
      </c>
      <c r="L31" s="22" t="s">
        <v>109</v>
      </c>
      <c r="M31" s="22" t="s">
        <v>238</v>
      </c>
      <c r="N31" s="24" t="s">
        <v>239</v>
      </c>
      <c r="O31" s="40" t="s">
        <v>121</v>
      </c>
      <c r="P31" s="21" t="s">
        <v>240</v>
      </c>
      <c r="Q31" s="21"/>
      <c r="R31" s="21"/>
      <c r="S31" s="21"/>
      <c r="T31" s="21"/>
      <c r="U31" s="21">
        <v>2020</v>
      </c>
      <c r="V31" s="25" t="s">
        <v>69</v>
      </c>
      <c r="W31" s="21" t="s">
        <v>205</v>
      </c>
      <c r="X31" s="24" t="s">
        <v>234</v>
      </c>
      <c r="Y31" s="21" t="s">
        <v>92</v>
      </c>
      <c r="Z31" s="21" t="s">
        <v>207</v>
      </c>
      <c r="AA31" s="21"/>
      <c r="AB31" s="21" t="s">
        <v>72</v>
      </c>
      <c r="AC31" s="21"/>
      <c r="AD31" s="21" t="s">
        <v>235</v>
      </c>
      <c r="AE31" s="21" t="s">
        <v>74</v>
      </c>
      <c r="AF31" s="22" t="s">
        <v>92</v>
      </c>
      <c r="AG31" s="26" t="s">
        <v>75</v>
      </c>
      <c r="AH31" s="21"/>
      <c r="AI31" s="21"/>
      <c r="AJ31" s="21" t="s">
        <v>76</v>
      </c>
      <c r="AK31" s="21"/>
      <c r="AL31" s="223"/>
      <c r="AM31" s="223"/>
      <c r="AN31" s="223"/>
      <c r="AO31" s="223"/>
      <c r="AP31" s="101"/>
      <c r="AQ31" s="96"/>
      <c r="AR31" s="96"/>
      <c r="AS31" s="96" t="s">
        <v>77</v>
      </c>
      <c r="AT31" s="96"/>
      <c r="AU31" s="96"/>
      <c r="AV31" s="96"/>
      <c r="AW31" s="96"/>
      <c r="AX31" s="96"/>
      <c r="AY31" s="96"/>
      <c r="AZ31" s="114"/>
    </row>
    <row r="32" spans="1:52" s="20" customFormat="1" ht="18.75" customHeight="1">
      <c r="A32" s="20">
        <v>26</v>
      </c>
      <c r="B32" s="239"/>
      <c r="C32" s="22" t="s">
        <v>241</v>
      </c>
      <c r="D32" s="21">
        <f>A32</f>
        <v>26</v>
      </c>
      <c r="E32" s="28" t="s">
        <v>242</v>
      </c>
      <c r="F32" s="24" t="s">
        <v>60</v>
      </c>
      <c r="G32" s="21"/>
      <c r="H32" s="21"/>
      <c r="I32" s="24" t="s">
        <v>61</v>
      </c>
      <c r="J32" s="24" t="s">
        <v>62</v>
      </c>
      <c r="K32" s="24" t="s">
        <v>63</v>
      </c>
      <c r="L32" s="22" t="s">
        <v>109</v>
      </c>
      <c r="M32" s="22" t="s">
        <v>210</v>
      </c>
      <c r="N32" s="24" t="s">
        <v>239</v>
      </c>
      <c r="O32" s="40" t="s">
        <v>121</v>
      </c>
      <c r="P32" s="21" t="s">
        <v>240</v>
      </c>
      <c r="U32" s="21">
        <v>2014</v>
      </c>
      <c r="V32" s="25" t="s">
        <v>69</v>
      </c>
      <c r="W32" s="113" t="s">
        <v>243</v>
      </c>
      <c r="X32" s="21" t="s">
        <v>100</v>
      </c>
      <c r="Y32" s="113" t="s">
        <v>243</v>
      </c>
      <c r="Z32" s="21" t="s">
        <v>100</v>
      </c>
      <c r="AA32" s="21"/>
      <c r="AB32" s="21" t="s">
        <v>72</v>
      </c>
      <c r="AC32" s="21"/>
      <c r="AD32" s="113" t="s">
        <v>120</v>
      </c>
      <c r="AE32" s="22"/>
      <c r="AF32" s="22" t="s">
        <v>243</v>
      </c>
      <c r="AG32" s="26" t="s">
        <v>214</v>
      </c>
      <c r="AH32" s="21"/>
      <c r="AI32" s="21"/>
      <c r="AJ32" s="21"/>
      <c r="AK32" s="21"/>
      <c r="AL32" s="223"/>
      <c r="AM32" s="223"/>
      <c r="AN32" s="223"/>
      <c r="AO32" s="223"/>
      <c r="AP32" s="101"/>
      <c r="AQ32" s="96"/>
      <c r="AR32" s="96"/>
      <c r="AS32" s="96" t="s">
        <v>77</v>
      </c>
      <c r="AT32" s="96"/>
      <c r="AU32" s="96"/>
      <c r="AV32" s="96"/>
      <c r="AW32" s="96"/>
      <c r="AX32" s="96"/>
      <c r="AY32" s="96"/>
      <c r="AZ32" s="114"/>
    </row>
    <row r="33" spans="1:52" s="34" customFormat="1" ht="18.75" customHeight="1">
      <c r="A33" s="34" t="s">
        <v>244</v>
      </c>
      <c r="B33" s="239" t="s">
        <v>245</v>
      </c>
      <c r="C33" s="35" t="s">
        <v>246</v>
      </c>
      <c r="D33" s="37" t="str">
        <f t="shared" si="0"/>
        <v>제외_3</v>
      </c>
      <c r="E33" s="35" t="s">
        <v>195</v>
      </c>
      <c r="F33" s="36" t="s">
        <v>60</v>
      </c>
      <c r="G33" s="37"/>
      <c r="H33" s="37"/>
      <c r="I33" s="36"/>
      <c r="J33" s="36"/>
      <c r="K33" s="36"/>
      <c r="L33" s="35"/>
      <c r="M33" s="35"/>
      <c r="N33" s="37"/>
      <c r="O33" s="37"/>
      <c r="P33" s="21"/>
      <c r="Q33" s="37"/>
      <c r="R33" s="37"/>
      <c r="S33" s="37"/>
      <c r="T33" s="37"/>
      <c r="U33" s="37"/>
      <c r="V33" s="37"/>
      <c r="W33" s="37"/>
      <c r="X33" s="37"/>
      <c r="Y33" s="37"/>
      <c r="Z33" s="37"/>
      <c r="AA33" s="37"/>
      <c r="AB33" s="37"/>
      <c r="AC33" s="37"/>
      <c r="AD33" s="37"/>
      <c r="AE33" s="37"/>
      <c r="AF33" s="35"/>
      <c r="AG33" s="37"/>
      <c r="AH33" s="37"/>
      <c r="AI33" s="37"/>
      <c r="AJ33" s="37"/>
      <c r="AK33" s="37"/>
      <c r="AL33" s="225"/>
      <c r="AM33" s="225"/>
      <c r="AN33" s="225"/>
      <c r="AO33" s="225"/>
      <c r="AP33" s="100"/>
      <c r="AQ33" s="98"/>
      <c r="AR33" s="98"/>
      <c r="AS33" s="98"/>
      <c r="AT33" s="98"/>
      <c r="AU33" s="98"/>
      <c r="AV33" s="98"/>
      <c r="AW33" s="98"/>
      <c r="AX33" s="98"/>
      <c r="AY33" s="98"/>
      <c r="AZ33" s="116"/>
    </row>
    <row r="34" spans="1:52" s="20" customFormat="1" ht="18.75" customHeight="1">
      <c r="A34" s="20">
        <v>27</v>
      </c>
      <c r="B34" s="239"/>
      <c r="C34" s="22" t="s">
        <v>247</v>
      </c>
      <c r="D34" s="21">
        <f t="shared" si="0"/>
        <v>27</v>
      </c>
      <c r="E34" s="28" t="s">
        <v>248</v>
      </c>
      <c r="F34" s="24" t="s">
        <v>60</v>
      </c>
      <c r="G34" s="21"/>
      <c r="H34" s="21"/>
      <c r="I34" s="24" t="s">
        <v>61</v>
      </c>
      <c r="J34" s="24" t="s">
        <v>62</v>
      </c>
      <c r="K34" s="24" t="s">
        <v>63</v>
      </c>
      <c r="L34" s="22" t="s">
        <v>109</v>
      </c>
      <c r="M34" s="22" t="s">
        <v>249</v>
      </c>
      <c r="N34" s="21" t="s">
        <v>86</v>
      </c>
      <c r="O34" s="21" t="s">
        <v>87</v>
      </c>
      <c r="P34" s="21" t="s">
        <v>211</v>
      </c>
      <c r="Q34" s="21"/>
      <c r="R34" s="21"/>
      <c r="S34" s="21"/>
      <c r="T34" s="21"/>
      <c r="U34" s="21">
        <v>2017</v>
      </c>
      <c r="V34" s="24" t="s">
        <v>89</v>
      </c>
      <c r="W34" s="21" t="s">
        <v>100</v>
      </c>
      <c r="X34" s="21" t="s">
        <v>100</v>
      </c>
      <c r="Y34" s="113" t="s">
        <v>70</v>
      </c>
      <c r="Z34" s="113" t="s">
        <v>71</v>
      </c>
      <c r="AA34" s="21"/>
      <c r="AB34" s="26" t="s">
        <v>72</v>
      </c>
      <c r="AC34" s="21"/>
      <c r="AD34" s="113" t="s">
        <v>73</v>
      </c>
      <c r="AE34" s="21" t="s">
        <v>121</v>
      </c>
      <c r="AF34" s="29" t="s">
        <v>71</v>
      </c>
      <c r="AG34" s="21" t="s">
        <v>250</v>
      </c>
      <c r="AH34" s="21"/>
      <c r="AI34" s="21"/>
      <c r="AJ34" s="21"/>
      <c r="AK34" s="21"/>
      <c r="AL34" s="223"/>
      <c r="AM34" s="223"/>
      <c r="AN34" s="223"/>
      <c r="AO34" s="223"/>
      <c r="AP34" s="101"/>
      <c r="AQ34" s="96" t="s">
        <v>77</v>
      </c>
      <c r="AR34" s="96" t="s">
        <v>77</v>
      </c>
      <c r="AS34" s="96"/>
      <c r="AT34" s="96"/>
      <c r="AU34" s="96"/>
      <c r="AV34" s="96"/>
      <c r="AW34" s="96"/>
      <c r="AX34" s="96"/>
      <c r="AY34" s="96"/>
      <c r="AZ34" s="114"/>
    </row>
    <row r="35" spans="1:52" s="20" customFormat="1" ht="18.75" customHeight="1">
      <c r="A35" s="20">
        <v>28</v>
      </c>
      <c r="B35" s="239"/>
      <c r="C35" s="22" t="s">
        <v>251</v>
      </c>
      <c r="D35" s="21">
        <f t="shared" si="0"/>
        <v>28</v>
      </c>
      <c r="E35" s="29" t="s">
        <v>252</v>
      </c>
      <c r="F35" s="24" t="s">
        <v>60</v>
      </c>
      <c r="G35" s="21"/>
      <c r="H35" s="21"/>
      <c r="I35" s="24" t="s">
        <v>61</v>
      </c>
      <c r="J35" s="24" t="s">
        <v>62</v>
      </c>
      <c r="K35" s="24" t="s">
        <v>63</v>
      </c>
      <c r="L35" s="22" t="s">
        <v>109</v>
      </c>
      <c r="M35" s="22" t="s">
        <v>253</v>
      </c>
      <c r="N35" s="21" t="s">
        <v>86</v>
      </c>
      <c r="O35" s="21" t="s">
        <v>87</v>
      </c>
      <c r="P35" s="21" t="s">
        <v>211</v>
      </c>
      <c r="Q35" s="21"/>
      <c r="R35" s="21"/>
      <c r="S35" s="21"/>
      <c r="T35" s="21"/>
      <c r="U35" s="21">
        <v>2021</v>
      </c>
      <c r="V35" s="24" t="s">
        <v>89</v>
      </c>
      <c r="W35" s="113" t="s">
        <v>70</v>
      </c>
      <c r="X35" s="113" t="s">
        <v>254</v>
      </c>
      <c r="Y35" s="113" t="s">
        <v>70</v>
      </c>
      <c r="Z35" s="113" t="s">
        <v>254</v>
      </c>
      <c r="AA35" s="21"/>
      <c r="AB35" s="26" t="s">
        <v>94</v>
      </c>
      <c r="AC35" s="21" t="s">
        <v>95</v>
      </c>
      <c r="AD35" s="21" t="s">
        <v>96</v>
      </c>
      <c r="AE35" s="21" t="s">
        <v>255</v>
      </c>
      <c r="AF35" s="22" t="s">
        <v>254</v>
      </c>
      <c r="AG35" s="21" t="s">
        <v>75</v>
      </c>
      <c r="AH35" s="21"/>
      <c r="AI35" s="21"/>
      <c r="AJ35" s="21" t="s">
        <v>76</v>
      </c>
      <c r="AK35" s="21"/>
      <c r="AL35" s="223"/>
      <c r="AM35" s="223"/>
      <c r="AN35" s="223"/>
      <c r="AO35" s="223"/>
      <c r="AP35" s="101"/>
      <c r="AQ35" s="96" t="s">
        <v>77</v>
      </c>
      <c r="AR35" s="96"/>
      <c r="AS35" s="96"/>
      <c r="AT35" s="96"/>
      <c r="AU35" s="96"/>
      <c r="AV35" s="96"/>
      <c r="AW35" s="96" t="s">
        <v>77</v>
      </c>
      <c r="AX35" s="96"/>
      <c r="AY35" s="96"/>
      <c r="AZ35" s="114"/>
    </row>
    <row r="36" spans="1:52" s="20" customFormat="1" ht="18.75" customHeight="1">
      <c r="A36" s="20">
        <v>29</v>
      </c>
      <c r="B36" s="239"/>
      <c r="C36" s="22" t="s">
        <v>256</v>
      </c>
      <c r="D36" s="21">
        <f t="shared" si="0"/>
        <v>29</v>
      </c>
      <c r="E36" s="28" t="s">
        <v>257</v>
      </c>
      <c r="F36" s="24" t="s">
        <v>60</v>
      </c>
      <c r="G36" s="21"/>
      <c r="H36" s="21"/>
      <c r="I36" s="24" t="s">
        <v>61</v>
      </c>
      <c r="J36" s="24" t="s">
        <v>62</v>
      </c>
      <c r="K36" s="24" t="s">
        <v>63</v>
      </c>
      <c r="L36" s="22" t="s">
        <v>109</v>
      </c>
      <c r="M36" s="22" t="s">
        <v>258</v>
      </c>
      <c r="N36" s="21" t="s">
        <v>86</v>
      </c>
      <c r="O36" s="21" t="s">
        <v>87</v>
      </c>
      <c r="P36" s="21" t="s">
        <v>211</v>
      </c>
      <c r="Q36" s="21"/>
      <c r="R36" s="21"/>
      <c r="S36" s="21"/>
      <c r="T36" s="21"/>
      <c r="U36" s="21">
        <v>2019</v>
      </c>
      <c r="V36" s="25" t="s">
        <v>69</v>
      </c>
      <c r="W36" s="21" t="s">
        <v>157</v>
      </c>
      <c r="X36" s="21" t="s">
        <v>259</v>
      </c>
      <c r="Y36" s="21" t="s">
        <v>92</v>
      </c>
      <c r="Z36" s="21" t="s">
        <v>260</v>
      </c>
      <c r="AA36" s="21"/>
      <c r="AB36" s="21" t="s">
        <v>94</v>
      </c>
      <c r="AC36" s="21" t="s">
        <v>95</v>
      </c>
      <c r="AD36" s="21" t="s">
        <v>96</v>
      </c>
      <c r="AE36" s="21" t="s">
        <v>74</v>
      </c>
      <c r="AF36" s="22" t="s">
        <v>92</v>
      </c>
      <c r="AG36" s="26" t="s">
        <v>75</v>
      </c>
      <c r="AH36" s="21"/>
      <c r="AI36" s="21"/>
      <c r="AJ36" s="21" t="s">
        <v>76</v>
      </c>
      <c r="AK36" s="21" t="s">
        <v>97</v>
      </c>
      <c r="AL36" s="223"/>
      <c r="AM36" s="223"/>
      <c r="AN36" s="223"/>
      <c r="AO36" s="223"/>
      <c r="AP36" s="101"/>
      <c r="AQ36" s="96" t="s">
        <v>77</v>
      </c>
      <c r="AR36" s="96" t="s">
        <v>77</v>
      </c>
      <c r="AS36" s="96"/>
      <c r="AT36" s="96" t="s">
        <v>77</v>
      </c>
      <c r="AU36" s="96"/>
      <c r="AV36" s="96"/>
      <c r="AW36" s="96" t="s">
        <v>77</v>
      </c>
      <c r="AX36" s="96"/>
      <c r="AY36" s="96"/>
      <c r="AZ36" s="114"/>
    </row>
    <row r="37" spans="1:52" s="20" customFormat="1" ht="18.75" customHeight="1">
      <c r="A37" s="20">
        <v>30</v>
      </c>
      <c r="B37" s="239"/>
      <c r="C37" s="22" t="s">
        <v>261</v>
      </c>
      <c r="D37" s="21">
        <f t="shared" si="0"/>
        <v>30</v>
      </c>
      <c r="E37" s="29" t="s">
        <v>262</v>
      </c>
      <c r="F37" s="24" t="s">
        <v>60</v>
      </c>
      <c r="G37" s="21"/>
      <c r="H37" s="21"/>
      <c r="I37" s="24" t="s">
        <v>61</v>
      </c>
      <c r="J37" s="24" t="s">
        <v>62</v>
      </c>
      <c r="K37" s="24" t="s">
        <v>63</v>
      </c>
      <c r="L37" s="22" t="s">
        <v>109</v>
      </c>
      <c r="M37" s="22" t="s">
        <v>263</v>
      </c>
      <c r="N37" s="21" t="s">
        <v>86</v>
      </c>
      <c r="O37" s="21" t="s">
        <v>87</v>
      </c>
      <c r="P37" s="21" t="s">
        <v>211</v>
      </c>
      <c r="Q37" s="21"/>
      <c r="R37" s="21"/>
      <c r="S37" s="21"/>
      <c r="T37" s="21"/>
      <c r="U37" s="21">
        <v>2019</v>
      </c>
      <c r="V37" s="24" t="s">
        <v>89</v>
      </c>
      <c r="W37" s="21" t="s">
        <v>100</v>
      </c>
      <c r="X37" s="21" t="s">
        <v>100</v>
      </c>
      <c r="Y37" s="21" t="s">
        <v>264</v>
      </c>
      <c r="Z37" s="21" t="s">
        <v>152</v>
      </c>
      <c r="AA37" s="21"/>
      <c r="AB37" s="21" t="s">
        <v>94</v>
      </c>
      <c r="AC37" s="21" t="s">
        <v>95</v>
      </c>
      <c r="AD37" s="21" t="s">
        <v>96</v>
      </c>
      <c r="AE37" s="21" t="s">
        <v>121</v>
      </c>
      <c r="AF37" s="22" t="s">
        <v>265</v>
      </c>
      <c r="AG37" s="21" t="s">
        <v>161</v>
      </c>
      <c r="AH37" s="21"/>
      <c r="AI37" s="21"/>
      <c r="AJ37" s="21"/>
      <c r="AK37" s="21"/>
      <c r="AL37" s="223"/>
      <c r="AM37" s="223"/>
      <c r="AN37" s="223"/>
      <c r="AO37" s="223"/>
      <c r="AP37" s="101"/>
      <c r="AQ37" s="96" t="s">
        <v>77</v>
      </c>
      <c r="AR37" s="96" t="s">
        <v>77</v>
      </c>
      <c r="AS37" s="96"/>
      <c r="AT37" s="96" t="s">
        <v>77</v>
      </c>
      <c r="AU37" s="96"/>
      <c r="AV37" s="96"/>
      <c r="AW37" s="96" t="s">
        <v>77</v>
      </c>
      <c r="AX37" s="96" t="s">
        <v>77</v>
      </c>
      <c r="AY37" s="96"/>
      <c r="AZ37" s="114" t="s">
        <v>177</v>
      </c>
    </row>
    <row r="38" spans="1:52" s="20" customFormat="1" ht="18.75" customHeight="1">
      <c r="A38" s="20">
        <v>31</v>
      </c>
      <c r="B38" s="239"/>
      <c r="C38" s="22" t="s">
        <v>266</v>
      </c>
      <c r="D38" s="21">
        <f t="shared" si="0"/>
        <v>31</v>
      </c>
      <c r="E38" s="23" t="s">
        <v>267</v>
      </c>
      <c r="F38" s="21" t="s">
        <v>60</v>
      </c>
      <c r="G38" s="21"/>
      <c r="H38" s="21"/>
      <c r="I38" s="21" t="s">
        <v>61</v>
      </c>
      <c r="J38" s="21" t="s">
        <v>62</v>
      </c>
      <c r="K38" s="21" t="s">
        <v>63</v>
      </c>
      <c r="L38" s="22" t="s">
        <v>109</v>
      </c>
      <c r="M38" s="22" t="s">
        <v>268</v>
      </c>
      <c r="N38" s="21" t="s">
        <v>86</v>
      </c>
      <c r="O38" s="21" t="s">
        <v>87</v>
      </c>
      <c r="P38" s="21" t="s">
        <v>211</v>
      </c>
      <c r="Q38" s="21"/>
      <c r="R38" s="21"/>
      <c r="S38" s="21"/>
      <c r="T38" s="21"/>
      <c r="U38" s="21">
        <v>2020</v>
      </c>
      <c r="V38" s="24" t="s">
        <v>89</v>
      </c>
      <c r="W38" s="21" t="s">
        <v>269</v>
      </c>
      <c r="X38" s="21" t="s">
        <v>270</v>
      </c>
      <c r="Y38" s="21" t="s">
        <v>92</v>
      </c>
      <c r="Z38" s="21" t="s">
        <v>100</v>
      </c>
      <c r="AA38" s="21"/>
      <c r="AB38" s="21" t="s">
        <v>94</v>
      </c>
      <c r="AC38" s="21" t="s">
        <v>95</v>
      </c>
      <c r="AD38" s="21" t="s">
        <v>96</v>
      </c>
      <c r="AE38" s="21" t="s">
        <v>271</v>
      </c>
      <c r="AF38" s="22" t="s">
        <v>272</v>
      </c>
      <c r="AG38" s="21" t="s">
        <v>121</v>
      </c>
      <c r="AH38" s="21"/>
      <c r="AI38" s="21"/>
      <c r="AJ38" s="21"/>
      <c r="AK38" s="21"/>
      <c r="AL38" s="223"/>
      <c r="AM38" s="223"/>
      <c r="AN38" s="223"/>
      <c r="AO38" s="223"/>
      <c r="AP38" s="101"/>
      <c r="AQ38" s="96" t="s">
        <v>77</v>
      </c>
      <c r="AR38" s="96" t="s">
        <v>77</v>
      </c>
      <c r="AS38" s="96"/>
      <c r="AT38" s="96" t="s">
        <v>77</v>
      </c>
      <c r="AU38" s="96"/>
      <c r="AV38" s="96"/>
      <c r="AW38" s="96" t="s">
        <v>77</v>
      </c>
      <c r="AX38" s="96" t="s">
        <v>77</v>
      </c>
      <c r="AY38" s="96"/>
      <c r="AZ38" s="114" t="s">
        <v>177</v>
      </c>
    </row>
    <row r="39" spans="1:52" s="20" customFormat="1" ht="18.75" customHeight="1">
      <c r="A39" s="20">
        <v>32</v>
      </c>
      <c r="B39" s="239"/>
      <c r="C39" s="22" t="s">
        <v>273</v>
      </c>
      <c r="D39" s="21">
        <f t="shared" si="0"/>
        <v>32</v>
      </c>
      <c r="E39" s="28" t="s">
        <v>274</v>
      </c>
      <c r="F39" s="24" t="s">
        <v>60</v>
      </c>
      <c r="G39" s="21"/>
      <c r="H39" s="21"/>
      <c r="I39" s="24" t="s">
        <v>61</v>
      </c>
      <c r="J39" s="24" t="s">
        <v>62</v>
      </c>
      <c r="K39" s="24" t="s">
        <v>63</v>
      </c>
      <c r="L39" s="22" t="s">
        <v>109</v>
      </c>
      <c r="M39" s="22" t="s">
        <v>275</v>
      </c>
      <c r="N39" s="21" t="s">
        <v>86</v>
      </c>
      <c r="O39" s="21" t="s">
        <v>87</v>
      </c>
      <c r="P39" s="21" t="s">
        <v>211</v>
      </c>
      <c r="Q39" s="21"/>
      <c r="R39" s="21"/>
      <c r="S39" s="21"/>
      <c r="T39" s="21"/>
      <c r="U39" s="21">
        <v>2019</v>
      </c>
      <c r="V39" s="24" t="s">
        <v>89</v>
      </c>
      <c r="W39" s="24" t="s">
        <v>276</v>
      </c>
      <c r="X39" s="21" t="s">
        <v>277</v>
      </c>
      <c r="Y39" s="21" t="s">
        <v>92</v>
      </c>
      <c r="Z39" s="21" t="s">
        <v>278</v>
      </c>
      <c r="AA39" s="21"/>
      <c r="AB39" s="21" t="s">
        <v>94</v>
      </c>
      <c r="AC39" s="21" t="s">
        <v>95</v>
      </c>
      <c r="AD39" s="21" t="s">
        <v>96</v>
      </c>
      <c r="AE39" s="21" t="s">
        <v>74</v>
      </c>
      <c r="AF39" s="22" t="s">
        <v>92</v>
      </c>
      <c r="AG39" s="26" t="s">
        <v>75</v>
      </c>
      <c r="AH39" s="21"/>
      <c r="AI39" s="21"/>
      <c r="AJ39" s="21" t="s">
        <v>76</v>
      </c>
      <c r="AK39" s="21"/>
      <c r="AL39" s="223"/>
      <c r="AM39" s="223"/>
      <c r="AN39" s="223"/>
      <c r="AO39" s="223"/>
      <c r="AP39" s="101"/>
      <c r="AQ39" s="96" t="s">
        <v>77</v>
      </c>
      <c r="AR39" s="96" t="s">
        <v>77</v>
      </c>
      <c r="AS39" s="107"/>
      <c r="AT39" s="96" t="s">
        <v>77</v>
      </c>
      <c r="AU39" s="96" t="s">
        <v>77</v>
      </c>
      <c r="AV39" s="96" t="s">
        <v>77</v>
      </c>
      <c r="AW39" s="96"/>
      <c r="AX39" s="96"/>
      <c r="AY39" s="96"/>
      <c r="AZ39" s="114"/>
    </row>
    <row r="40" spans="1:52" s="20" customFormat="1" ht="18.75" customHeight="1">
      <c r="A40" s="20">
        <v>33</v>
      </c>
      <c r="B40" s="239" t="s">
        <v>279</v>
      </c>
      <c r="C40" s="22" t="s">
        <v>280</v>
      </c>
      <c r="D40" s="21">
        <f t="shared" si="0"/>
        <v>33</v>
      </c>
      <c r="E40" s="29" t="s">
        <v>281</v>
      </c>
      <c r="F40" s="24" t="s">
        <v>60</v>
      </c>
      <c r="G40" s="21"/>
      <c r="H40" s="21"/>
      <c r="I40" s="24" t="s">
        <v>61</v>
      </c>
      <c r="J40" s="24" t="s">
        <v>82</v>
      </c>
      <c r="K40" s="24" t="s">
        <v>83</v>
      </c>
      <c r="L40" s="29" t="s">
        <v>84</v>
      </c>
      <c r="M40" s="29" t="s">
        <v>282</v>
      </c>
      <c r="N40" s="21" t="s">
        <v>86</v>
      </c>
      <c r="O40" s="21" t="s">
        <v>87</v>
      </c>
      <c r="P40" s="21" t="s">
        <v>68</v>
      </c>
      <c r="Q40" s="21"/>
      <c r="R40" s="21"/>
      <c r="S40" s="21"/>
      <c r="T40" s="21"/>
      <c r="U40" s="21">
        <v>2023</v>
      </c>
      <c r="V40" s="24" t="s">
        <v>89</v>
      </c>
      <c r="W40" s="21" t="s">
        <v>283</v>
      </c>
      <c r="X40" s="21" t="s">
        <v>284</v>
      </c>
      <c r="Y40" s="21" t="s">
        <v>92</v>
      </c>
      <c r="Z40" s="21" t="s">
        <v>285</v>
      </c>
      <c r="AA40" s="21"/>
      <c r="AB40" s="21" t="s">
        <v>94</v>
      </c>
      <c r="AC40" s="21" t="s">
        <v>95</v>
      </c>
      <c r="AD40" s="21" t="s">
        <v>96</v>
      </c>
      <c r="AE40" s="21" t="s">
        <v>169</v>
      </c>
      <c r="AF40" s="22" t="s">
        <v>92</v>
      </c>
      <c r="AG40" s="26" t="s">
        <v>75</v>
      </c>
      <c r="AH40" s="21"/>
      <c r="AI40" s="21"/>
      <c r="AJ40" s="21"/>
      <c r="AK40" s="21"/>
      <c r="AL40" s="223"/>
      <c r="AM40" s="223"/>
      <c r="AN40" s="223"/>
      <c r="AO40" s="223"/>
      <c r="AP40" s="101"/>
      <c r="AQ40" s="96" t="s">
        <v>77</v>
      </c>
      <c r="AR40" s="96"/>
      <c r="AS40" s="96"/>
      <c r="AT40" s="96"/>
      <c r="AU40" s="96" t="s">
        <v>77</v>
      </c>
      <c r="AV40" s="96" t="s">
        <v>77</v>
      </c>
      <c r="AW40" s="96"/>
      <c r="AX40" s="96"/>
      <c r="AY40" s="96"/>
      <c r="AZ40" s="114"/>
    </row>
    <row r="41" spans="1:52" s="34" customFormat="1" ht="18.75" customHeight="1">
      <c r="A41" s="34">
        <v>34</v>
      </c>
      <c r="B41" s="239"/>
      <c r="C41" s="35" t="s">
        <v>286</v>
      </c>
      <c r="D41" s="37">
        <f t="shared" si="0"/>
        <v>34</v>
      </c>
      <c r="E41" s="38" t="s">
        <v>287</v>
      </c>
      <c r="F41" s="36" t="s">
        <v>60</v>
      </c>
      <c r="G41" s="37"/>
      <c r="H41" s="37"/>
      <c r="I41" s="36" t="s">
        <v>61</v>
      </c>
      <c r="J41" s="36" t="s">
        <v>62</v>
      </c>
      <c r="K41" s="36" t="s">
        <v>63</v>
      </c>
      <c r="L41" s="35" t="s">
        <v>109</v>
      </c>
      <c r="M41" s="35" t="s">
        <v>238</v>
      </c>
      <c r="N41" s="37" t="s">
        <v>86</v>
      </c>
      <c r="O41" s="37" t="s">
        <v>87</v>
      </c>
      <c r="P41" s="21" t="s">
        <v>68</v>
      </c>
      <c r="Q41" s="37"/>
      <c r="R41" s="37"/>
      <c r="S41" s="37"/>
      <c r="T41" s="37"/>
      <c r="U41" s="37">
        <v>2013</v>
      </c>
      <c r="V41" s="37"/>
      <c r="W41" s="37"/>
      <c r="X41" s="37"/>
      <c r="Y41" s="37"/>
      <c r="Z41" s="37"/>
      <c r="AA41" s="37"/>
      <c r="AB41" s="39" t="s">
        <v>72</v>
      </c>
      <c r="AC41" s="37"/>
      <c r="AD41" s="37" t="s">
        <v>288</v>
      </c>
      <c r="AE41" s="37" t="s">
        <v>74</v>
      </c>
      <c r="AF41" s="35" t="s">
        <v>289</v>
      </c>
      <c r="AG41" s="39" t="s">
        <v>75</v>
      </c>
      <c r="AH41" s="37"/>
      <c r="AI41" s="37"/>
      <c r="AJ41" s="37"/>
      <c r="AK41" s="37"/>
      <c r="AL41" s="225"/>
      <c r="AM41" s="225"/>
      <c r="AN41" s="225"/>
      <c r="AO41" s="225"/>
      <c r="AP41" s="100"/>
      <c r="AQ41" s="98"/>
      <c r="AR41" s="98"/>
      <c r="AS41" s="98"/>
      <c r="AT41" s="98"/>
      <c r="AU41" s="98"/>
      <c r="AV41" s="98"/>
      <c r="AW41" s="98"/>
      <c r="AX41" s="98"/>
      <c r="AY41" s="98"/>
      <c r="AZ41" s="116"/>
    </row>
    <row r="42" spans="1:52" s="20" customFormat="1" ht="18.75" customHeight="1">
      <c r="A42" s="20">
        <v>35</v>
      </c>
      <c r="B42" s="239"/>
      <c r="C42" s="22" t="s">
        <v>290</v>
      </c>
      <c r="D42" s="21">
        <f t="shared" si="0"/>
        <v>35</v>
      </c>
      <c r="E42" s="28" t="s">
        <v>291</v>
      </c>
      <c r="F42" s="24" t="s">
        <v>60</v>
      </c>
      <c r="G42" s="21"/>
      <c r="H42" s="21"/>
      <c r="I42" s="24" t="s">
        <v>61</v>
      </c>
      <c r="J42" s="24" t="s">
        <v>82</v>
      </c>
      <c r="K42" s="24" t="s">
        <v>83</v>
      </c>
      <c r="L42" s="29" t="s">
        <v>84</v>
      </c>
      <c r="M42" s="22" t="s">
        <v>292</v>
      </c>
      <c r="N42" s="21" t="s">
        <v>86</v>
      </c>
      <c r="O42" s="21" t="s">
        <v>87</v>
      </c>
      <c r="P42" s="21" t="s">
        <v>68</v>
      </c>
      <c r="Q42" s="21"/>
      <c r="R42" s="21"/>
      <c r="S42" s="21"/>
      <c r="T42" s="21"/>
      <c r="U42" s="21">
        <v>2019</v>
      </c>
      <c r="V42" s="24" t="s">
        <v>89</v>
      </c>
      <c r="W42" s="21" t="s">
        <v>293</v>
      </c>
      <c r="X42" s="21" t="s">
        <v>294</v>
      </c>
      <c r="Y42" s="21" t="s">
        <v>92</v>
      </c>
      <c r="Z42" s="21" t="s">
        <v>152</v>
      </c>
      <c r="AA42" s="21"/>
      <c r="AB42" s="21" t="s">
        <v>94</v>
      </c>
      <c r="AC42" s="21" t="s">
        <v>95</v>
      </c>
      <c r="AD42" s="21" t="s">
        <v>96</v>
      </c>
      <c r="AE42" s="21" t="s">
        <v>74</v>
      </c>
      <c r="AF42" s="22" t="s">
        <v>92</v>
      </c>
      <c r="AG42" s="26" t="s">
        <v>75</v>
      </c>
      <c r="AH42" s="21"/>
      <c r="AI42" s="21"/>
      <c r="AJ42" s="21" t="s">
        <v>76</v>
      </c>
      <c r="AK42" s="21"/>
      <c r="AL42" s="223"/>
      <c r="AM42" s="223"/>
      <c r="AN42" s="223"/>
      <c r="AO42" s="223"/>
      <c r="AP42" s="101"/>
      <c r="AQ42" s="96" t="s">
        <v>77</v>
      </c>
      <c r="AR42" s="96" t="s">
        <v>77</v>
      </c>
      <c r="AS42" s="96" t="s">
        <v>77</v>
      </c>
      <c r="AT42" s="96"/>
      <c r="AU42" s="96"/>
      <c r="AV42" s="96"/>
      <c r="AW42" s="96"/>
      <c r="AX42" s="96"/>
      <c r="AY42" s="96"/>
      <c r="AZ42" s="114"/>
    </row>
    <row r="43" spans="1:52" s="20" customFormat="1" ht="18.75" customHeight="1">
      <c r="A43" s="20">
        <v>36</v>
      </c>
      <c r="B43" s="239"/>
      <c r="C43" s="22" t="s">
        <v>295</v>
      </c>
      <c r="D43" s="21">
        <f t="shared" si="0"/>
        <v>36</v>
      </c>
      <c r="E43" s="29" t="s">
        <v>296</v>
      </c>
      <c r="F43" s="24" t="s">
        <v>60</v>
      </c>
      <c r="G43" s="21"/>
      <c r="H43" s="21"/>
      <c r="I43" s="24" t="s">
        <v>61</v>
      </c>
      <c r="J43" s="24" t="s">
        <v>82</v>
      </c>
      <c r="K43" s="24" t="s">
        <v>83</v>
      </c>
      <c r="L43" s="29" t="s">
        <v>84</v>
      </c>
      <c r="M43" s="22" t="s">
        <v>297</v>
      </c>
      <c r="N43" s="21" t="s">
        <v>86</v>
      </c>
      <c r="O43" s="21" t="s">
        <v>87</v>
      </c>
      <c r="P43" s="21" t="s">
        <v>68</v>
      </c>
      <c r="Q43" s="21"/>
      <c r="R43" s="21"/>
      <c r="S43" s="21"/>
      <c r="T43" s="21"/>
      <c r="U43" s="21">
        <v>2021</v>
      </c>
      <c r="V43" s="25" t="s">
        <v>69</v>
      </c>
      <c r="W43" s="21" t="s">
        <v>283</v>
      </c>
      <c r="X43" s="21" t="s">
        <v>298</v>
      </c>
      <c r="Y43" s="21" t="s">
        <v>92</v>
      </c>
      <c r="Z43" s="21" t="s">
        <v>299</v>
      </c>
      <c r="AA43" s="21"/>
      <c r="AB43" s="26" t="s">
        <v>72</v>
      </c>
      <c r="AC43" s="21"/>
      <c r="AD43" s="21" t="s">
        <v>73</v>
      </c>
      <c r="AE43" s="21" t="s">
        <v>271</v>
      </c>
      <c r="AF43" s="22" t="s">
        <v>92</v>
      </c>
      <c r="AG43" s="21" t="s">
        <v>300</v>
      </c>
      <c r="AH43" s="21"/>
      <c r="AI43" s="21"/>
      <c r="AJ43" s="21"/>
      <c r="AK43" s="21"/>
      <c r="AL43" s="223"/>
      <c r="AM43" s="223"/>
      <c r="AN43" s="223"/>
      <c r="AO43" s="223"/>
      <c r="AP43" s="101"/>
      <c r="AQ43" s="96" t="s">
        <v>77</v>
      </c>
      <c r="AR43" s="96" t="s">
        <v>77</v>
      </c>
      <c r="AS43" s="96"/>
      <c r="AT43" s="96"/>
      <c r="AU43" s="96"/>
      <c r="AV43" s="96"/>
      <c r="AW43" s="96"/>
      <c r="AX43" s="96"/>
      <c r="AY43" s="96"/>
      <c r="AZ43" s="114"/>
    </row>
    <row r="44" spans="1:52" s="20" customFormat="1" ht="18.75" customHeight="1">
      <c r="A44" s="20">
        <v>37</v>
      </c>
      <c r="B44" s="239"/>
      <c r="C44" s="22" t="s">
        <v>301</v>
      </c>
      <c r="D44" s="21">
        <f t="shared" si="0"/>
        <v>37</v>
      </c>
      <c r="E44" s="28" t="s">
        <v>302</v>
      </c>
      <c r="F44" s="24" t="s">
        <v>60</v>
      </c>
      <c r="G44" s="21"/>
      <c r="H44" s="21"/>
      <c r="I44" s="24" t="s">
        <v>61</v>
      </c>
      <c r="J44" s="24" t="s">
        <v>82</v>
      </c>
      <c r="K44" s="24" t="s">
        <v>83</v>
      </c>
      <c r="L44" s="29" t="s">
        <v>84</v>
      </c>
      <c r="M44" s="22" t="s">
        <v>303</v>
      </c>
      <c r="N44" s="21" t="s">
        <v>86</v>
      </c>
      <c r="O44" s="21" t="s">
        <v>87</v>
      </c>
      <c r="P44" s="21" t="s">
        <v>68</v>
      </c>
      <c r="Q44" s="21"/>
      <c r="R44" s="21"/>
      <c r="S44" s="21"/>
      <c r="T44" s="21"/>
      <c r="U44" s="21">
        <v>2021</v>
      </c>
      <c r="V44" s="24" t="s">
        <v>89</v>
      </c>
      <c r="W44" s="21" t="s">
        <v>304</v>
      </c>
      <c r="X44" s="21" t="s">
        <v>305</v>
      </c>
      <c r="Y44" s="113" t="s">
        <v>70</v>
      </c>
      <c r="Z44" s="113" t="s">
        <v>71</v>
      </c>
      <c r="AA44" s="21"/>
      <c r="AB44" s="21" t="s">
        <v>94</v>
      </c>
      <c r="AC44" s="21" t="s">
        <v>95</v>
      </c>
      <c r="AD44" s="21" t="s">
        <v>96</v>
      </c>
      <c r="AE44" s="21" t="s">
        <v>306</v>
      </c>
      <c r="AF44" s="22" t="s">
        <v>71</v>
      </c>
      <c r="AG44" s="21" t="s">
        <v>306</v>
      </c>
      <c r="AH44" s="21"/>
      <c r="AI44" s="21"/>
      <c r="AJ44" s="21" t="s">
        <v>76</v>
      </c>
      <c r="AK44" s="21"/>
      <c r="AL44" s="223"/>
      <c r="AM44" s="223"/>
      <c r="AN44" s="223"/>
      <c r="AO44" s="223"/>
      <c r="AP44" s="101"/>
      <c r="AQ44" s="96" t="s">
        <v>77</v>
      </c>
      <c r="AR44" s="96"/>
      <c r="AS44" s="96"/>
      <c r="AT44" s="96"/>
      <c r="AU44" s="96" t="s">
        <v>77</v>
      </c>
      <c r="AV44" s="96"/>
      <c r="AW44" s="96"/>
      <c r="AX44" s="96" t="s">
        <v>77</v>
      </c>
      <c r="AY44" s="117" t="s">
        <v>307</v>
      </c>
      <c r="AZ44" s="114" t="s">
        <v>308</v>
      </c>
    </row>
    <row r="45" spans="1:52" s="42" customFormat="1" ht="18.75" customHeight="1">
      <c r="A45" s="42">
        <v>38</v>
      </c>
      <c r="B45" s="240"/>
      <c r="C45" s="43" t="s">
        <v>309</v>
      </c>
      <c r="D45" s="41">
        <f t="shared" si="0"/>
        <v>38</v>
      </c>
      <c r="E45" s="43" t="s">
        <v>99</v>
      </c>
      <c r="F45" s="44" t="s">
        <v>60</v>
      </c>
      <c r="G45" s="41"/>
      <c r="H45" s="41"/>
      <c r="I45" s="44"/>
      <c r="J45" s="44"/>
      <c r="K45" s="44"/>
      <c r="L45" s="46"/>
      <c r="M45" s="46"/>
      <c r="N45" s="41"/>
      <c r="O45" s="41"/>
      <c r="P45" s="21"/>
      <c r="Q45" s="41"/>
      <c r="R45" s="41"/>
      <c r="S45" s="41"/>
      <c r="T45" s="41"/>
      <c r="U45" s="41"/>
      <c r="V45" s="44" t="s">
        <v>100</v>
      </c>
      <c r="W45" s="41"/>
      <c r="X45" s="41"/>
      <c r="Y45" s="41"/>
      <c r="Z45" s="41"/>
      <c r="AA45" s="41"/>
      <c r="AB45" s="41"/>
      <c r="AC45" s="41"/>
      <c r="AD45" s="41"/>
      <c r="AE45" s="41"/>
      <c r="AF45" s="43"/>
      <c r="AG45" s="41"/>
      <c r="AH45" s="41"/>
      <c r="AI45" s="41"/>
      <c r="AJ45" s="41"/>
      <c r="AK45" s="41"/>
      <c r="AL45" s="224"/>
      <c r="AM45" s="224"/>
      <c r="AN45" s="224"/>
      <c r="AO45" s="224"/>
      <c r="AP45" s="99"/>
      <c r="AQ45" s="97"/>
      <c r="AR45" s="97"/>
      <c r="AS45" s="97"/>
      <c r="AT45" s="97"/>
      <c r="AU45" s="97"/>
      <c r="AV45" s="97"/>
      <c r="AW45" s="97"/>
      <c r="AX45" s="97"/>
      <c r="AY45" s="97"/>
      <c r="AZ45" s="115"/>
    </row>
    <row r="46" spans="1:52" s="20" customFormat="1" ht="18.75" customHeight="1">
      <c r="A46" s="20">
        <v>39</v>
      </c>
      <c r="B46" s="239" t="s">
        <v>310</v>
      </c>
      <c r="C46" s="22" t="s">
        <v>311</v>
      </c>
      <c r="D46" s="21">
        <f t="shared" si="0"/>
        <v>39</v>
      </c>
      <c r="E46" s="28" t="s">
        <v>312</v>
      </c>
      <c r="F46" s="24" t="s">
        <v>60</v>
      </c>
      <c r="G46" s="21"/>
      <c r="H46" s="21"/>
      <c r="I46" s="24" t="s">
        <v>61</v>
      </c>
      <c r="J46" s="24" t="s">
        <v>82</v>
      </c>
      <c r="K46" s="24" t="s">
        <v>83</v>
      </c>
      <c r="L46" s="29" t="s">
        <v>84</v>
      </c>
      <c r="M46" s="22" t="s">
        <v>313</v>
      </c>
      <c r="N46" s="24" t="s">
        <v>239</v>
      </c>
      <c r="O46" s="40" t="s">
        <v>121</v>
      </c>
      <c r="P46" s="21" t="s">
        <v>240</v>
      </c>
      <c r="Q46" s="21"/>
      <c r="R46" s="21"/>
      <c r="S46" s="21"/>
      <c r="T46" s="21"/>
      <c r="U46" s="21">
        <v>2021</v>
      </c>
      <c r="V46" s="25" t="s">
        <v>69</v>
      </c>
      <c r="W46" s="21" t="s">
        <v>314</v>
      </c>
      <c r="X46" s="21" t="s">
        <v>315</v>
      </c>
      <c r="Y46" s="21" t="s">
        <v>92</v>
      </c>
      <c r="Z46" s="21" t="s">
        <v>316</v>
      </c>
      <c r="AA46" s="21" t="s">
        <v>317</v>
      </c>
      <c r="AB46" s="26" t="s">
        <v>72</v>
      </c>
      <c r="AC46" s="21"/>
      <c r="AD46" s="21" t="s">
        <v>96</v>
      </c>
      <c r="AE46" s="21" t="s">
        <v>74</v>
      </c>
      <c r="AF46" s="29" t="s">
        <v>318</v>
      </c>
      <c r="AG46" s="26" t="s">
        <v>75</v>
      </c>
      <c r="AH46" s="21"/>
      <c r="AI46" s="21"/>
      <c r="AJ46" s="21"/>
      <c r="AK46" s="21"/>
      <c r="AL46" s="223"/>
      <c r="AM46" s="223"/>
      <c r="AN46" s="223"/>
      <c r="AO46" s="223"/>
      <c r="AP46" s="101"/>
      <c r="AQ46" s="96"/>
      <c r="AR46" s="96"/>
      <c r="AS46" s="96" t="s">
        <v>77</v>
      </c>
      <c r="AT46" s="96"/>
      <c r="AU46" s="96"/>
      <c r="AV46" s="96"/>
      <c r="AW46" s="96"/>
      <c r="AX46" s="96"/>
      <c r="AY46" s="96"/>
      <c r="AZ46" s="114"/>
    </row>
    <row r="47" spans="1:52" s="20" customFormat="1" ht="18.75" customHeight="1">
      <c r="A47" s="20">
        <v>40</v>
      </c>
      <c r="B47" s="239"/>
      <c r="C47" s="22" t="s">
        <v>319</v>
      </c>
      <c r="D47" s="21">
        <f t="shared" si="0"/>
        <v>40</v>
      </c>
      <c r="E47" s="28" t="s">
        <v>320</v>
      </c>
      <c r="F47" s="24" t="s">
        <v>60</v>
      </c>
      <c r="G47" s="21"/>
      <c r="H47" s="21"/>
      <c r="I47" s="24" t="s">
        <v>61</v>
      </c>
      <c r="J47" s="24" t="s">
        <v>82</v>
      </c>
      <c r="K47" s="24" t="s">
        <v>83</v>
      </c>
      <c r="L47" s="29" t="s">
        <v>84</v>
      </c>
      <c r="M47" s="22" t="s">
        <v>313</v>
      </c>
      <c r="N47" s="21" t="s">
        <v>86</v>
      </c>
      <c r="O47" s="21" t="s">
        <v>87</v>
      </c>
      <c r="P47" s="21" t="s">
        <v>186</v>
      </c>
      <c r="Q47" s="21"/>
      <c r="R47" s="21"/>
      <c r="S47" s="21"/>
      <c r="T47" s="21"/>
      <c r="U47" s="21">
        <v>2023</v>
      </c>
      <c r="V47" s="25" t="s">
        <v>69</v>
      </c>
      <c r="W47" s="21" t="s">
        <v>314</v>
      </c>
      <c r="X47" s="21" t="s">
        <v>315</v>
      </c>
      <c r="Y47" s="21" t="s">
        <v>92</v>
      </c>
      <c r="Z47" s="21" t="s">
        <v>316</v>
      </c>
      <c r="AA47" s="21" t="s">
        <v>317</v>
      </c>
      <c r="AB47" s="26" t="s">
        <v>72</v>
      </c>
      <c r="AC47" s="21"/>
      <c r="AD47" s="21" t="s">
        <v>96</v>
      </c>
      <c r="AE47" s="21" t="s">
        <v>74</v>
      </c>
      <c r="AF47" s="29" t="s">
        <v>318</v>
      </c>
      <c r="AG47" s="26" t="s">
        <v>75</v>
      </c>
      <c r="AH47" s="21"/>
      <c r="AI47" s="21"/>
      <c r="AJ47" s="21"/>
      <c r="AK47" s="21"/>
      <c r="AL47" s="223"/>
      <c r="AM47" s="223"/>
      <c r="AN47" s="223"/>
      <c r="AO47" s="223"/>
      <c r="AP47" s="101"/>
      <c r="AQ47" s="96"/>
      <c r="AR47" s="96" t="s">
        <v>77</v>
      </c>
      <c r="AS47" s="96"/>
      <c r="AT47" s="96"/>
      <c r="AU47" s="96"/>
      <c r="AV47" s="96"/>
      <c r="AW47" s="96"/>
      <c r="AX47" s="96"/>
      <c r="AY47" s="96"/>
      <c r="AZ47" s="114"/>
    </row>
    <row r="48" spans="1:52" s="20" customFormat="1" ht="18.75" customHeight="1">
      <c r="A48" s="20">
        <v>41</v>
      </c>
      <c r="B48" s="239" t="s">
        <v>321</v>
      </c>
      <c r="C48" s="22" t="s">
        <v>322</v>
      </c>
      <c r="D48" s="21">
        <f t="shared" si="0"/>
        <v>41</v>
      </c>
      <c r="E48" s="28" t="s">
        <v>323</v>
      </c>
      <c r="F48" s="24" t="s">
        <v>60</v>
      </c>
      <c r="G48" s="21"/>
      <c r="H48" s="21"/>
      <c r="I48" s="24" t="s">
        <v>61</v>
      </c>
      <c r="J48" s="24" t="s">
        <v>82</v>
      </c>
      <c r="K48" s="24" t="s">
        <v>83</v>
      </c>
      <c r="L48" s="29" t="s">
        <v>84</v>
      </c>
      <c r="M48" s="22" t="s">
        <v>324</v>
      </c>
      <c r="N48" s="21" t="s">
        <v>86</v>
      </c>
      <c r="O48" s="21" t="s">
        <v>87</v>
      </c>
      <c r="P48" s="21" t="s">
        <v>211</v>
      </c>
      <c r="Q48" s="21"/>
      <c r="R48" s="21"/>
      <c r="S48" s="21"/>
      <c r="T48" s="21"/>
      <c r="U48" s="21">
        <v>2025</v>
      </c>
      <c r="V48" s="24" t="s">
        <v>89</v>
      </c>
      <c r="W48" s="21" t="s">
        <v>325</v>
      </c>
      <c r="X48" s="21" t="s">
        <v>326</v>
      </c>
      <c r="Y48" s="21" t="s">
        <v>327</v>
      </c>
      <c r="Z48" s="21" t="s">
        <v>328</v>
      </c>
      <c r="AA48" s="113" t="s">
        <v>329</v>
      </c>
      <c r="AB48" s="26" t="s">
        <v>72</v>
      </c>
      <c r="AC48" s="21"/>
      <c r="AD48" s="21" t="s">
        <v>73</v>
      </c>
      <c r="AE48" s="21" t="s">
        <v>74</v>
      </c>
      <c r="AF48" s="22" t="s">
        <v>327</v>
      </c>
      <c r="AG48" s="26" t="s">
        <v>75</v>
      </c>
      <c r="AH48" s="21"/>
      <c r="AI48" s="21"/>
      <c r="AJ48" s="21" t="s">
        <v>76</v>
      </c>
      <c r="AK48" s="21"/>
      <c r="AL48" s="223"/>
      <c r="AM48" s="223"/>
      <c r="AN48" s="223"/>
      <c r="AO48" s="223"/>
      <c r="AP48" s="101"/>
      <c r="AQ48" s="96" t="s">
        <v>77</v>
      </c>
      <c r="AR48" s="96"/>
      <c r="AS48" s="96"/>
      <c r="AT48" s="96"/>
      <c r="AU48" s="96"/>
      <c r="AV48" s="96"/>
      <c r="AW48" s="96"/>
      <c r="AX48" s="96"/>
      <c r="AY48" s="96"/>
      <c r="AZ48" s="114"/>
    </row>
    <row r="49" spans="1:52" s="42" customFormat="1" ht="18.75" customHeight="1">
      <c r="A49" s="42">
        <v>42</v>
      </c>
      <c r="B49" s="239"/>
      <c r="C49" s="43" t="s">
        <v>330</v>
      </c>
      <c r="D49" s="41">
        <f t="shared" si="0"/>
        <v>42</v>
      </c>
      <c r="E49" s="43" t="s">
        <v>99</v>
      </c>
      <c r="F49" s="44" t="s">
        <v>60</v>
      </c>
      <c r="G49" s="41"/>
      <c r="H49" s="41"/>
      <c r="I49" s="44"/>
      <c r="J49" s="44"/>
      <c r="K49" s="44"/>
      <c r="L49" s="46"/>
      <c r="M49" s="46"/>
      <c r="N49" s="41"/>
      <c r="O49" s="41"/>
      <c r="P49" s="21"/>
      <c r="Q49" s="41"/>
      <c r="R49" s="41"/>
      <c r="S49" s="41"/>
      <c r="T49" s="41"/>
      <c r="U49" s="41"/>
      <c r="V49" s="44" t="s">
        <v>100</v>
      </c>
      <c r="W49" s="41"/>
      <c r="X49" s="41"/>
      <c r="Y49" s="41"/>
      <c r="Z49" s="41"/>
      <c r="AA49" s="41"/>
      <c r="AB49" s="41"/>
      <c r="AC49" s="41"/>
      <c r="AD49" s="41"/>
      <c r="AE49" s="41"/>
      <c r="AF49" s="43"/>
      <c r="AG49" s="41"/>
      <c r="AH49" s="41"/>
      <c r="AI49" s="41"/>
      <c r="AJ49" s="41"/>
      <c r="AK49" s="41"/>
      <c r="AL49" s="224"/>
      <c r="AM49" s="224"/>
      <c r="AN49" s="224"/>
      <c r="AO49" s="224"/>
      <c r="AP49" s="99"/>
      <c r="AQ49" s="97"/>
      <c r="AR49" s="97"/>
      <c r="AS49" s="97"/>
      <c r="AT49" s="97"/>
      <c r="AU49" s="97"/>
      <c r="AV49" s="97"/>
      <c r="AW49" s="97"/>
      <c r="AX49" s="97"/>
      <c r="AY49" s="97"/>
      <c r="AZ49" s="115"/>
    </row>
    <row r="50" spans="1:52" s="20" customFormat="1" ht="18.75" customHeight="1">
      <c r="A50" s="20">
        <v>43</v>
      </c>
      <c r="B50" s="239" t="s">
        <v>331</v>
      </c>
      <c r="C50" s="22" t="s">
        <v>332</v>
      </c>
      <c r="D50" s="21">
        <f t="shared" si="0"/>
        <v>43</v>
      </c>
      <c r="E50" s="28" t="s">
        <v>333</v>
      </c>
      <c r="F50" s="24" t="s">
        <v>60</v>
      </c>
      <c r="G50" s="21"/>
      <c r="H50" s="21"/>
      <c r="I50" s="24" t="s">
        <v>61</v>
      </c>
      <c r="J50" s="24" t="s">
        <v>82</v>
      </c>
      <c r="K50" s="24" t="s">
        <v>83</v>
      </c>
      <c r="L50" s="29" t="s">
        <v>84</v>
      </c>
      <c r="M50" s="29" t="s">
        <v>334</v>
      </c>
      <c r="N50" s="21" t="s">
        <v>86</v>
      </c>
      <c r="O50" s="21" t="s">
        <v>87</v>
      </c>
      <c r="P50" s="21" t="s">
        <v>211</v>
      </c>
      <c r="Q50" s="21"/>
      <c r="R50" s="21"/>
      <c r="S50" s="21"/>
      <c r="T50" s="21"/>
      <c r="U50" s="21">
        <v>2016</v>
      </c>
      <c r="V50" s="25" t="s">
        <v>69</v>
      </c>
      <c r="W50" s="113" t="s">
        <v>335</v>
      </c>
      <c r="X50" s="113" t="s">
        <v>336</v>
      </c>
      <c r="Y50" s="113" t="s">
        <v>335</v>
      </c>
      <c r="Z50" s="113" t="s">
        <v>336</v>
      </c>
      <c r="AA50" s="21"/>
      <c r="AB50" s="26" t="s">
        <v>72</v>
      </c>
      <c r="AC50" s="21"/>
      <c r="AD50" s="113" t="s">
        <v>288</v>
      </c>
      <c r="AE50" s="21" t="s">
        <v>74</v>
      </c>
      <c r="AF50" s="22" t="s">
        <v>336</v>
      </c>
      <c r="AG50" s="26" t="s">
        <v>214</v>
      </c>
      <c r="AH50" s="21"/>
      <c r="AI50" s="21"/>
      <c r="AJ50" s="21"/>
      <c r="AK50" s="21"/>
      <c r="AL50" s="223"/>
      <c r="AM50" s="223"/>
      <c r="AN50" s="223"/>
      <c r="AO50" s="223"/>
      <c r="AP50" s="101"/>
      <c r="AQ50" s="96"/>
      <c r="AR50" s="96"/>
      <c r="AS50" s="96"/>
      <c r="AT50" s="96"/>
      <c r="AU50" s="96" t="s">
        <v>77</v>
      </c>
      <c r="AV50" s="96"/>
      <c r="AW50" s="96"/>
      <c r="AX50" s="96"/>
      <c r="AY50" s="96"/>
      <c r="AZ50" s="114"/>
    </row>
    <row r="51" spans="1:52" s="20" customFormat="1" ht="18.75" customHeight="1">
      <c r="A51" s="20">
        <v>44</v>
      </c>
      <c r="B51" s="239"/>
      <c r="C51" s="22" t="s">
        <v>337</v>
      </c>
      <c r="D51" s="21">
        <f t="shared" si="0"/>
        <v>44</v>
      </c>
      <c r="E51" s="28" t="s">
        <v>338</v>
      </c>
      <c r="F51" s="24" t="s">
        <v>60</v>
      </c>
      <c r="G51" s="21"/>
      <c r="H51" s="21"/>
      <c r="I51" s="24" t="s">
        <v>61</v>
      </c>
      <c r="J51" s="24" t="s">
        <v>82</v>
      </c>
      <c r="K51" s="24" t="s">
        <v>83</v>
      </c>
      <c r="L51" s="29" t="s">
        <v>84</v>
      </c>
      <c r="M51" s="29" t="s">
        <v>334</v>
      </c>
      <c r="N51" s="21" t="s">
        <v>86</v>
      </c>
      <c r="O51" s="21" t="s">
        <v>87</v>
      </c>
      <c r="P51" s="21" t="s">
        <v>186</v>
      </c>
      <c r="Q51" s="21"/>
      <c r="R51" s="21"/>
      <c r="S51" s="21"/>
      <c r="T51" s="21"/>
      <c r="U51" s="21">
        <v>2012</v>
      </c>
      <c r="V51" s="25" t="s">
        <v>69</v>
      </c>
      <c r="W51" s="113" t="s">
        <v>335</v>
      </c>
      <c r="X51" s="113" t="s">
        <v>336</v>
      </c>
      <c r="Y51" s="113" t="s">
        <v>335</v>
      </c>
      <c r="Z51" s="113" t="s">
        <v>336</v>
      </c>
      <c r="AA51" s="21"/>
      <c r="AB51" s="26" t="s">
        <v>72</v>
      </c>
      <c r="AC51" s="21"/>
      <c r="AD51" s="113" t="s">
        <v>120</v>
      </c>
      <c r="AE51" s="21" t="s">
        <v>74</v>
      </c>
      <c r="AF51" s="22" t="s">
        <v>336</v>
      </c>
      <c r="AG51" s="26" t="s">
        <v>75</v>
      </c>
      <c r="AH51" s="21"/>
      <c r="AI51" s="21"/>
      <c r="AJ51" s="21"/>
      <c r="AK51" s="21"/>
      <c r="AL51" s="223"/>
      <c r="AM51" s="223"/>
      <c r="AN51" s="223"/>
      <c r="AO51" s="223"/>
      <c r="AP51" s="101" t="s">
        <v>339</v>
      </c>
      <c r="AQ51" s="96"/>
      <c r="AR51" s="96" t="s">
        <v>77</v>
      </c>
      <c r="AS51" s="96"/>
      <c r="AT51" s="96"/>
      <c r="AU51" s="96"/>
      <c r="AV51" s="96"/>
      <c r="AW51" s="96"/>
      <c r="AX51" s="96"/>
      <c r="AY51" s="96"/>
      <c r="AZ51" s="114"/>
    </row>
    <row r="52" spans="1:52" s="20" customFormat="1" ht="18.75" customHeight="1">
      <c r="A52" s="20">
        <v>45</v>
      </c>
      <c r="B52" s="239"/>
      <c r="C52" s="22" t="s">
        <v>340</v>
      </c>
      <c r="D52" s="21">
        <f t="shared" si="0"/>
        <v>45</v>
      </c>
      <c r="E52" s="28" t="s">
        <v>341</v>
      </c>
      <c r="F52" s="24" t="s">
        <v>60</v>
      </c>
      <c r="G52" s="21"/>
      <c r="H52" s="21"/>
      <c r="I52" s="24" t="s">
        <v>61</v>
      </c>
      <c r="J52" s="24" t="s">
        <v>82</v>
      </c>
      <c r="K52" s="24" t="s">
        <v>83</v>
      </c>
      <c r="L52" s="29" t="s">
        <v>84</v>
      </c>
      <c r="M52" s="29" t="s">
        <v>334</v>
      </c>
      <c r="N52" s="24" t="s">
        <v>239</v>
      </c>
      <c r="O52" s="40" t="s">
        <v>121</v>
      </c>
      <c r="P52" s="21" t="s">
        <v>240</v>
      </c>
      <c r="Q52" s="21"/>
      <c r="R52" s="21"/>
      <c r="S52" s="21"/>
      <c r="T52" s="21"/>
      <c r="U52" s="21">
        <v>2015</v>
      </c>
      <c r="V52" s="25" t="s">
        <v>69</v>
      </c>
      <c r="W52" s="113" t="s">
        <v>335</v>
      </c>
      <c r="X52" s="113" t="s">
        <v>336</v>
      </c>
      <c r="Y52" s="113" t="s">
        <v>335</v>
      </c>
      <c r="Z52" s="113" t="s">
        <v>336</v>
      </c>
      <c r="AA52" s="21"/>
      <c r="AB52" s="26" t="s">
        <v>72</v>
      </c>
      <c r="AC52" s="21"/>
      <c r="AD52" s="113" t="s">
        <v>120</v>
      </c>
      <c r="AE52" s="21" t="s">
        <v>74</v>
      </c>
      <c r="AF52" s="22" t="s">
        <v>336</v>
      </c>
      <c r="AG52" s="26" t="s">
        <v>75</v>
      </c>
      <c r="AH52" s="21"/>
      <c r="AI52" s="21"/>
      <c r="AJ52" s="21"/>
      <c r="AK52" s="21"/>
      <c r="AL52" s="223"/>
      <c r="AM52" s="223"/>
      <c r="AN52" s="223"/>
      <c r="AO52" s="223"/>
      <c r="AP52" s="101"/>
      <c r="AQ52" s="96"/>
      <c r="AR52" s="96"/>
      <c r="AS52" s="96" t="s">
        <v>77</v>
      </c>
      <c r="AT52" s="96"/>
      <c r="AU52" s="96"/>
      <c r="AV52" s="96"/>
      <c r="AW52" s="96"/>
      <c r="AX52" s="96"/>
      <c r="AY52" s="96"/>
      <c r="AZ52" s="114"/>
    </row>
    <row r="53" spans="1:52" s="20" customFormat="1" ht="18.75" customHeight="1">
      <c r="A53" s="20">
        <v>46</v>
      </c>
      <c r="B53" s="239" t="s">
        <v>342</v>
      </c>
      <c r="C53" s="22" t="s">
        <v>343</v>
      </c>
      <c r="D53" s="21">
        <f t="shared" si="0"/>
        <v>46</v>
      </c>
      <c r="E53" s="28" t="s">
        <v>344</v>
      </c>
      <c r="F53" s="24" t="s">
        <v>60</v>
      </c>
      <c r="G53" s="21"/>
      <c r="H53" s="21"/>
      <c r="I53" s="24" t="s">
        <v>61</v>
      </c>
      <c r="J53" s="24" t="s">
        <v>82</v>
      </c>
      <c r="K53" s="24" t="s">
        <v>83</v>
      </c>
      <c r="L53" s="29" t="s">
        <v>84</v>
      </c>
      <c r="M53" s="29" t="s">
        <v>345</v>
      </c>
      <c r="N53" s="21" t="s">
        <v>86</v>
      </c>
      <c r="O53" s="21" t="s">
        <v>87</v>
      </c>
      <c r="P53" s="21" t="s">
        <v>211</v>
      </c>
      <c r="Q53" s="21"/>
      <c r="R53" s="21"/>
      <c r="S53" s="21"/>
      <c r="T53" s="21"/>
      <c r="U53" s="21">
        <v>2011</v>
      </c>
      <c r="V53" s="24" t="s">
        <v>89</v>
      </c>
      <c r="W53" s="21" t="s">
        <v>346</v>
      </c>
      <c r="X53" s="21" t="s">
        <v>347</v>
      </c>
      <c r="Y53" s="21" t="s">
        <v>348</v>
      </c>
      <c r="Z53" s="21" t="s">
        <v>100</v>
      </c>
      <c r="AA53" s="21"/>
      <c r="AB53" s="26" t="s">
        <v>72</v>
      </c>
      <c r="AC53" s="21"/>
      <c r="AD53" s="113" t="s">
        <v>349</v>
      </c>
      <c r="AE53" s="21" t="s">
        <v>121</v>
      </c>
      <c r="AF53" s="22" t="s">
        <v>350</v>
      </c>
      <c r="AG53" s="21" t="s">
        <v>121</v>
      </c>
      <c r="AH53" s="21"/>
      <c r="AI53" s="21"/>
      <c r="AJ53" s="21"/>
      <c r="AK53" s="21"/>
      <c r="AL53" s="223"/>
      <c r="AM53" s="223"/>
      <c r="AN53" s="223"/>
      <c r="AO53" s="223"/>
      <c r="AP53" s="101"/>
      <c r="AQ53" s="96" t="s">
        <v>77</v>
      </c>
      <c r="AR53" s="96" t="s">
        <v>77</v>
      </c>
      <c r="AS53" s="96"/>
      <c r="AT53" s="96" t="s">
        <v>77</v>
      </c>
      <c r="AU53" s="96"/>
      <c r="AV53" s="96"/>
      <c r="AW53" s="96" t="s">
        <v>77</v>
      </c>
      <c r="AX53" s="96" t="s">
        <v>77</v>
      </c>
      <c r="AY53" s="96"/>
      <c r="AZ53" s="114" t="s">
        <v>177</v>
      </c>
    </row>
    <row r="54" spans="1:52" s="20" customFormat="1" ht="18.75" customHeight="1">
      <c r="A54" s="20">
        <v>47</v>
      </c>
      <c r="B54" s="239"/>
      <c r="C54" s="22" t="s">
        <v>351</v>
      </c>
      <c r="D54" s="21">
        <f t="shared" si="0"/>
        <v>47</v>
      </c>
      <c r="E54" s="28" t="s">
        <v>352</v>
      </c>
      <c r="F54" s="24" t="s">
        <v>60</v>
      </c>
      <c r="G54" s="21"/>
      <c r="H54" s="21"/>
      <c r="I54" s="24" t="s">
        <v>61</v>
      </c>
      <c r="J54" s="24" t="s">
        <v>82</v>
      </c>
      <c r="K54" s="24" t="s">
        <v>83</v>
      </c>
      <c r="L54" s="29" t="s">
        <v>84</v>
      </c>
      <c r="M54" s="22" t="s">
        <v>353</v>
      </c>
      <c r="N54" s="21" t="s">
        <v>86</v>
      </c>
      <c r="O54" s="21" t="s">
        <v>87</v>
      </c>
      <c r="P54" s="21" t="s">
        <v>211</v>
      </c>
      <c r="Q54" s="21"/>
      <c r="R54" s="21"/>
      <c r="S54" s="21"/>
      <c r="T54" s="21"/>
      <c r="U54" s="21">
        <v>2015</v>
      </c>
      <c r="V54" s="25" t="s">
        <v>69</v>
      </c>
      <c r="W54" s="113" t="s">
        <v>354</v>
      </c>
      <c r="X54" s="113" t="s">
        <v>355</v>
      </c>
      <c r="Y54" s="113" t="s">
        <v>70</v>
      </c>
      <c r="Z54" s="113" t="s">
        <v>71</v>
      </c>
      <c r="AA54" s="21"/>
      <c r="AB54" s="26" t="s">
        <v>72</v>
      </c>
      <c r="AC54" s="21"/>
      <c r="AD54" s="21" t="s">
        <v>96</v>
      </c>
      <c r="AE54" s="21" t="s">
        <v>74</v>
      </c>
      <c r="AF54" s="22" t="s">
        <v>356</v>
      </c>
      <c r="AG54" s="26" t="s">
        <v>75</v>
      </c>
      <c r="AH54" s="21"/>
      <c r="AI54" s="21"/>
      <c r="AJ54" s="21"/>
      <c r="AK54" s="21"/>
      <c r="AL54" s="223"/>
      <c r="AM54" s="223"/>
      <c r="AN54" s="223"/>
      <c r="AO54" s="223"/>
      <c r="AP54" s="101"/>
      <c r="AQ54" s="96"/>
      <c r="AR54" s="96" t="s">
        <v>77</v>
      </c>
      <c r="AS54" s="96"/>
      <c r="AT54" s="96"/>
      <c r="AU54" s="96"/>
      <c r="AV54" s="96"/>
      <c r="AW54" s="96"/>
      <c r="AX54" s="96"/>
      <c r="AY54" s="96"/>
      <c r="AZ54" s="114"/>
    </row>
    <row r="55" spans="1:52" s="20" customFormat="1" ht="18.75" customHeight="1">
      <c r="A55" s="20">
        <v>48</v>
      </c>
      <c r="B55" s="239"/>
      <c r="C55" s="22" t="s">
        <v>357</v>
      </c>
      <c r="D55" s="21">
        <f t="shared" si="0"/>
        <v>48</v>
      </c>
      <c r="E55" s="28" t="s">
        <v>358</v>
      </c>
      <c r="F55" s="24" t="s">
        <v>60</v>
      </c>
      <c r="G55" s="21"/>
      <c r="H55" s="21"/>
      <c r="I55" s="24" t="s">
        <v>61</v>
      </c>
      <c r="J55" s="24" t="s">
        <v>82</v>
      </c>
      <c r="K55" s="24" t="s">
        <v>83</v>
      </c>
      <c r="L55" s="29" t="s">
        <v>84</v>
      </c>
      <c r="M55" s="22" t="s">
        <v>359</v>
      </c>
      <c r="N55" s="21" t="s">
        <v>86</v>
      </c>
      <c r="O55" s="21" t="s">
        <v>87</v>
      </c>
      <c r="P55" s="21" t="s">
        <v>211</v>
      </c>
      <c r="Q55" s="21"/>
      <c r="R55" s="21"/>
      <c r="S55" s="21"/>
      <c r="T55" s="21"/>
      <c r="U55" s="21">
        <v>2020</v>
      </c>
      <c r="V55" s="25" t="s">
        <v>69</v>
      </c>
      <c r="W55" s="21" t="s">
        <v>157</v>
      </c>
      <c r="X55" s="21" t="s">
        <v>217</v>
      </c>
      <c r="Y55" s="21" t="s">
        <v>92</v>
      </c>
      <c r="Z55" s="21" t="s">
        <v>192</v>
      </c>
      <c r="AA55" s="21"/>
      <c r="AB55" s="21" t="s">
        <v>94</v>
      </c>
      <c r="AC55" s="21" t="s">
        <v>95</v>
      </c>
      <c r="AD55" s="21" t="s">
        <v>96</v>
      </c>
      <c r="AE55" s="21" t="s">
        <v>74</v>
      </c>
      <c r="AF55" s="22" t="s">
        <v>92</v>
      </c>
      <c r="AG55" s="26" t="s">
        <v>75</v>
      </c>
      <c r="AH55" s="21"/>
      <c r="AI55" s="21"/>
      <c r="AJ55" s="21" t="s">
        <v>76</v>
      </c>
      <c r="AK55" s="21" t="s">
        <v>97</v>
      </c>
      <c r="AL55" s="223"/>
      <c r="AM55" s="223"/>
      <c r="AN55" s="223"/>
      <c r="AO55" s="223"/>
      <c r="AP55" s="101"/>
      <c r="AQ55" s="96" t="s">
        <v>77</v>
      </c>
      <c r="AR55" s="96" t="s">
        <v>77</v>
      </c>
      <c r="AS55" s="96"/>
      <c r="AT55" s="96" t="s">
        <v>77</v>
      </c>
      <c r="AU55" s="96"/>
      <c r="AV55" s="96"/>
      <c r="AW55" s="96"/>
      <c r="AX55" s="96"/>
      <c r="AY55" s="96"/>
      <c r="AZ55" s="114"/>
    </row>
    <row r="56" spans="1:52" s="20" customFormat="1" ht="18.75" customHeight="1">
      <c r="A56" s="20">
        <v>49</v>
      </c>
      <c r="B56" s="241" t="s">
        <v>360</v>
      </c>
      <c r="C56" s="22" t="s">
        <v>361</v>
      </c>
      <c r="D56" s="21">
        <f t="shared" si="0"/>
        <v>49</v>
      </c>
      <c r="E56" s="22" t="s">
        <v>362</v>
      </c>
      <c r="F56" s="24" t="s">
        <v>60</v>
      </c>
      <c r="G56" s="21"/>
      <c r="H56" s="21"/>
      <c r="I56" s="24" t="s">
        <v>61</v>
      </c>
      <c r="J56" s="21" t="s">
        <v>363</v>
      </c>
      <c r="K56" s="21" t="s">
        <v>364</v>
      </c>
      <c r="L56" s="22" t="s">
        <v>365</v>
      </c>
      <c r="M56" s="22" t="s">
        <v>366</v>
      </c>
      <c r="N56" s="21" t="s">
        <v>86</v>
      </c>
      <c r="O56" s="21" t="s">
        <v>87</v>
      </c>
      <c r="P56" s="21" t="s">
        <v>211</v>
      </c>
      <c r="Q56" s="21"/>
      <c r="R56" s="21"/>
      <c r="S56" s="21"/>
      <c r="T56" s="21"/>
      <c r="U56" s="21"/>
      <c r="V56" s="24" t="s">
        <v>89</v>
      </c>
      <c r="W56" s="21" t="s">
        <v>367</v>
      </c>
      <c r="X56" s="21" t="s">
        <v>367</v>
      </c>
      <c r="Y56" s="21" t="s">
        <v>367</v>
      </c>
      <c r="Z56" s="21" t="s">
        <v>367</v>
      </c>
      <c r="AA56" s="21"/>
      <c r="AB56" s="26" t="s">
        <v>72</v>
      </c>
      <c r="AC56" s="21"/>
      <c r="AD56" s="21" t="s">
        <v>368</v>
      </c>
      <c r="AE56" s="21" t="s">
        <v>121</v>
      </c>
      <c r="AF56" s="22" t="s">
        <v>367</v>
      </c>
      <c r="AG56" s="21" t="s">
        <v>369</v>
      </c>
      <c r="AH56" s="21"/>
      <c r="AI56" s="21"/>
      <c r="AJ56" s="21"/>
      <c r="AK56" s="21" t="s">
        <v>97</v>
      </c>
      <c r="AL56" s="223"/>
      <c r="AM56" s="223"/>
      <c r="AN56" s="223"/>
      <c r="AO56" s="223"/>
      <c r="AP56" s="101"/>
      <c r="AQ56" s="96" t="s">
        <v>77</v>
      </c>
      <c r="AR56" s="96" t="s">
        <v>77</v>
      </c>
      <c r="AS56" s="96"/>
      <c r="AT56" s="96" t="s">
        <v>77</v>
      </c>
      <c r="AU56" s="96"/>
      <c r="AV56" s="96"/>
      <c r="AW56" s="96" t="s">
        <v>77</v>
      </c>
      <c r="AX56" s="96" t="s">
        <v>77</v>
      </c>
      <c r="AY56" s="96"/>
      <c r="AZ56" s="114" t="s">
        <v>153</v>
      </c>
    </row>
    <row r="57" spans="1:52" s="20" customFormat="1" ht="18.75" customHeight="1">
      <c r="A57" s="20">
        <v>50</v>
      </c>
      <c r="B57" s="242"/>
      <c r="C57" s="22" t="s">
        <v>370</v>
      </c>
      <c r="D57" s="21">
        <f t="shared" si="0"/>
        <v>50</v>
      </c>
      <c r="E57" s="29" t="s">
        <v>371</v>
      </c>
      <c r="F57" s="24" t="s">
        <v>60</v>
      </c>
      <c r="G57" s="21"/>
      <c r="H57" s="21"/>
      <c r="I57" s="24" t="s">
        <v>61</v>
      </c>
      <c r="J57" s="21" t="s">
        <v>363</v>
      </c>
      <c r="K57" s="21" t="s">
        <v>364</v>
      </c>
      <c r="L57" s="22" t="s">
        <v>365</v>
      </c>
      <c r="M57" s="22" t="s">
        <v>372</v>
      </c>
      <c r="N57" s="21" t="s">
        <v>86</v>
      </c>
      <c r="O57" s="21" t="s">
        <v>87</v>
      </c>
      <c r="P57" s="21" t="s">
        <v>211</v>
      </c>
      <c r="Q57" s="21"/>
      <c r="R57" s="21"/>
      <c r="S57" s="21"/>
      <c r="T57" s="21"/>
      <c r="U57" s="21"/>
      <c r="V57" s="24" t="s">
        <v>89</v>
      </c>
      <c r="W57" s="21" t="s">
        <v>367</v>
      </c>
      <c r="X57" s="21" t="s">
        <v>367</v>
      </c>
      <c r="Y57" s="21" t="s">
        <v>367</v>
      </c>
      <c r="Z57" s="21" t="s">
        <v>367</v>
      </c>
      <c r="AA57" s="21"/>
      <c r="AB57" s="26" t="s">
        <v>72</v>
      </c>
      <c r="AC57" s="21"/>
      <c r="AD57" s="21" t="s">
        <v>368</v>
      </c>
      <c r="AE57" s="21" t="s">
        <v>121</v>
      </c>
      <c r="AF57" s="22" t="s">
        <v>367</v>
      </c>
      <c r="AG57" s="21" t="s">
        <v>369</v>
      </c>
      <c r="AH57" s="21"/>
      <c r="AI57" s="21"/>
      <c r="AJ57" s="21"/>
      <c r="AK57" s="21" t="s">
        <v>97</v>
      </c>
      <c r="AL57" s="223"/>
      <c r="AM57" s="223"/>
      <c r="AN57" s="223"/>
      <c r="AO57" s="223"/>
      <c r="AP57" s="101"/>
      <c r="AQ57" s="96" t="s">
        <v>77</v>
      </c>
      <c r="AR57" s="96" t="s">
        <v>77</v>
      </c>
      <c r="AS57" s="96"/>
      <c r="AT57" s="96" t="s">
        <v>77</v>
      </c>
      <c r="AU57" s="96"/>
      <c r="AV57" s="96"/>
      <c r="AW57" s="96" t="s">
        <v>77</v>
      </c>
      <c r="AX57" s="96" t="s">
        <v>77</v>
      </c>
      <c r="AY57" s="96" t="s">
        <v>373</v>
      </c>
      <c r="AZ57" s="114" t="s">
        <v>374</v>
      </c>
    </row>
    <row r="58" spans="1:52" s="20" customFormat="1" ht="18.75" customHeight="1">
      <c r="A58" s="20">
        <v>51</v>
      </c>
      <c r="B58" s="243"/>
      <c r="C58" s="22" t="s">
        <v>375</v>
      </c>
      <c r="D58" s="21">
        <f t="shared" si="0"/>
        <v>51</v>
      </c>
      <c r="E58" s="29" t="s">
        <v>375</v>
      </c>
      <c r="F58" s="24" t="s">
        <v>60</v>
      </c>
      <c r="G58" s="21"/>
      <c r="H58" s="21"/>
      <c r="I58" s="24" t="s">
        <v>61</v>
      </c>
      <c r="J58" s="21" t="s">
        <v>363</v>
      </c>
      <c r="K58" s="21" t="s">
        <v>364</v>
      </c>
      <c r="L58" s="22" t="s">
        <v>365</v>
      </c>
      <c r="M58" s="22" t="s">
        <v>376</v>
      </c>
      <c r="N58" s="21" t="s">
        <v>86</v>
      </c>
      <c r="O58" s="21" t="s">
        <v>87</v>
      </c>
      <c r="P58" s="21" t="s">
        <v>211</v>
      </c>
      <c r="Q58" s="21"/>
      <c r="R58" s="21"/>
      <c r="S58" s="21"/>
      <c r="T58" s="21"/>
      <c r="U58" s="21"/>
      <c r="V58" s="24" t="s">
        <v>89</v>
      </c>
      <c r="W58" s="21" t="s">
        <v>367</v>
      </c>
      <c r="X58" s="21" t="s">
        <v>367</v>
      </c>
      <c r="Y58" s="21" t="s">
        <v>367</v>
      </c>
      <c r="Z58" s="21" t="s">
        <v>367</v>
      </c>
      <c r="AA58" s="21"/>
      <c r="AB58" s="26" t="s">
        <v>72</v>
      </c>
      <c r="AC58" s="21"/>
      <c r="AD58" s="21" t="s">
        <v>377</v>
      </c>
      <c r="AE58" s="21" t="s">
        <v>121</v>
      </c>
      <c r="AF58" s="22" t="s">
        <v>367</v>
      </c>
      <c r="AG58" s="21" t="s">
        <v>121</v>
      </c>
      <c r="AH58" s="21"/>
      <c r="AI58" s="21"/>
      <c r="AJ58" s="21"/>
      <c r="AK58" s="21" t="s">
        <v>97</v>
      </c>
      <c r="AL58" s="223"/>
      <c r="AM58" s="223"/>
      <c r="AN58" s="223"/>
      <c r="AO58" s="223"/>
      <c r="AP58" s="101"/>
      <c r="AQ58" s="96" t="s">
        <v>77</v>
      </c>
      <c r="AR58" s="96" t="s">
        <v>77</v>
      </c>
      <c r="AS58" s="96"/>
      <c r="AT58" s="96" t="s">
        <v>77</v>
      </c>
      <c r="AU58" s="96"/>
      <c r="AV58" s="96"/>
      <c r="AW58" s="96" t="s">
        <v>77</v>
      </c>
      <c r="AX58" s="96"/>
      <c r="AY58" s="96"/>
      <c r="AZ58" s="114"/>
    </row>
    <row r="59" spans="1:52" s="20" customFormat="1" ht="18.75" customHeight="1">
      <c r="A59" s="20">
        <v>52</v>
      </c>
      <c r="B59" s="21" t="s">
        <v>378</v>
      </c>
      <c r="C59" s="22" t="s">
        <v>378</v>
      </c>
      <c r="D59" s="21">
        <f t="shared" si="0"/>
        <v>52</v>
      </c>
      <c r="E59" s="29" t="s">
        <v>379</v>
      </c>
      <c r="F59" s="24" t="s">
        <v>60</v>
      </c>
      <c r="G59" s="21"/>
      <c r="H59" s="21"/>
      <c r="I59" s="24" t="s">
        <v>61</v>
      </c>
      <c r="J59" s="21" t="s">
        <v>380</v>
      </c>
      <c r="K59" s="21" t="s">
        <v>381</v>
      </c>
      <c r="L59" s="22" t="s">
        <v>382</v>
      </c>
      <c r="M59" s="22" t="s">
        <v>383</v>
      </c>
      <c r="N59" s="21" t="s">
        <v>86</v>
      </c>
      <c r="O59" s="21" t="s">
        <v>87</v>
      </c>
      <c r="P59" s="21" t="s">
        <v>68</v>
      </c>
      <c r="Q59" s="21"/>
      <c r="R59" s="21"/>
      <c r="S59" s="21"/>
      <c r="T59" s="21"/>
      <c r="U59" s="21"/>
      <c r="V59" s="24" t="s">
        <v>89</v>
      </c>
      <c r="W59" s="21" t="s">
        <v>134</v>
      </c>
      <c r="X59" s="21" t="s">
        <v>384</v>
      </c>
      <c r="Y59" s="21" t="s">
        <v>385</v>
      </c>
      <c r="Z59" s="21" t="s">
        <v>386</v>
      </c>
      <c r="AA59" s="21"/>
      <c r="AB59" s="26" t="s">
        <v>72</v>
      </c>
      <c r="AC59" s="21"/>
      <c r="AD59" s="21"/>
      <c r="AE59" s="21"/>
      <c r="AF59" s="22"/>
      <c r="AG59" s="21"/>
      <c r="AH59" s="21"/>
      <c r="AI59" s="21"/>
      <c r="AJ59" s="21"/>
      <c r="AK59" s="21"/>
      <c r="AL59" s="223"/>
      <c r="AM59" s="223"/>
      <c r="AN59" s="223"/>
      <c r="AO59" s="223"/>
      <c r="AP59" s="101"/>
      <c r="AQ59" s="96" t="s">
        <v>77</v>
      </c>
      <c r="AR59" s="96" t="s">
        <v>77</v>
      </c>
      <c r="AS59" s="96" t="s">
        <v>77</v>
      </c>
      <c r="AT59" s="96" t="s">
        <v>77</v>
      </c>
      <c r="AU59" s="96" t="s">
        <v>77</v>
      </c>
      <c r="AV59" s="96" t="s">
        <v>77</v>
      </c>
      <c r="AW59" s="96" t="s">
        <v>77</v>
      </c>
      <c r="AX59" s="96"/>
      <c r="AY59" s="96"/>
      <c r="AZ59" s="114"/>
    </row>
    <row r="60" spans="1:52" s="20" customFormat="1" ht="18.75" customHeight="1">
      <c r="A60" s="20">
        <v>53</v>
      </c>
      <c r="B60" s="241" t="s">
        <v>387</v>
      </c>
      <c r="C60" s="22" t="s">
        <v>388</v>
      </c>
      <c r="D60" s="21">
        <f t="shared" si="0"/>
        <v>53</v>
      </c>
      <c r="E60" s="29" t="s">
        <v>389</v>
      </c>
      <c r="F60" s="24" t="s">
        <v>60</v>
      </c>
      <c r="G60" s="21"/>
      <c r="H60" s="21"/>
      <c r="I60" s="24" t="s">
        <v>61</v>
      </c>
      <c r="J60" s="21" t="s">
        <v>380</v>
      </c>
      <c r="K60" s="21" t="s">
        <v>381</v>
      </c>
      <c r="L60" s="22" t="s">
        <v>390</v>
      </c>
      <c r="M60" s="22" t="s">
        <v>391</v>
      </c>
      <c r="N60" s="21" t="s">
        <v>86</v>
      </c>
      <c r="O60" s="21" t="s">
        <v>87</v>
      </c>
      <c r="P60" s="21" t="s">
        <v>68</v>
      </c>
      <c r="Q60" s="21"/>
      <c r="R60" s="21"/>
      <c r="S60" s="21"/>
      <c r="T60" s="21"/>
      <c r="U60" s="21">
        <v>2019</v>
      </c>
      <c r="V60" s="24" t="s">
        <v>89</v>
      </c>
      <c r="W60" s="21" t="s">
        <v>392</v>
      </c>
      <c r="X60" s="113" t="s">
        <v>393</v>
      </c>
      <c r="Y60" s="113" t="s">
        <v>394</v>
      </c>
      <c r="Z60" s="113" t="s">
        <v>395</v>
      </c>
      <c r="AA60" s="21"/>
      <c r="AB60" s="26" t="s">
        <v>72</v>
      </c>
      <c r="AC60" s="21"/>
      <c r="AD60" s="113" t="s">
        <v>396</v>
      </c>
      <c r="AE60" s="21" t="s">
        <v>397</v>
      </c>
      <c r="AF60" s="22" t="s">
        <v>398</v>
      </c>
      <c r="AG60" s="21" t="s">
        <v>397</v>
      </c>
      <c r="AH60" s="21"/>
      <c r="AI60" s="21"/>
      <c r="AJ60" s="21"/>
      <c r="AK60" s="21"/>
      <c r="AL60" s="223"/>
      <c r="AM60" s="223"/>
      <c r="AN60" s="223"/>
      <c r="AO60" s="223"/>
      <c r="AP60" s="135" t="s">
        <v>399</v>
      </c>
      <c r="AQ60" s="96" t="s">
        <v>77</v>
      </c>
      <c r="AR60" s="96" t="s">
        <v>77</v>
      </c>
      <c r="AS60" s="96" t="s">
        <v>77</v>
      </c>
      <c r="AT60" s="96" t="s">
        <v>77</v>
      </c>
      <c r="AU60" s="96" t="s">
        <v>77</v>
      </c>
      <c r="AV60" s="96" t="s">
        <v>77</v>
      </c>
      <c r="AW60" s="96" t="s">
        <v>77</v>
      </c>
      <c r="AX60" s="96" t="s">
        <v>77</v>
      </c>
      <c r="AY60" s="96"/>
      <c r="AZ60" s="114" t="s">
        <v>177</v>
      </c>
    </row>
    <row r="61" spans="1:52" s="20" customFormat="1" ht="18.75" customHeight="1">
      <c r="A61" s="20">
        <v>54</v>
      </c>
      <c r="B61" s="242"/>
      <c r="C61" s="22" t="s">
        <v>400</v>
      </c>
      <c r="D61" s="21">
        <f t="shared" si="0"/>
        <v>54</v>
      </c>
      <c r="E61" s="29" t="s">
        <v>401</v>
      </c>
      <c r="F61" s="24" t="s">
        <v>60</v>
      </c>
      <c r="G61" s="21"/>
      <c r="H61" s="21"/>
      <c r="I61" s="24" t="s">
        <v>61</v>
      </c>
      <c r="J61" s="21" t="s">
        <v>380</v>
      </c>
      <c r="K61" s="21" t="s">
        <v>381</v>
      </c>
      <c r="L61" s="22" t="s">
        <v>390</v>
      </c>
      <c r="M61" s="22" t="s">
        <v>391</v>
      </c>
      <c r="N61" s="21" t="s">
        <v>86</v>
      </c>
      <c r="O61" s="21" t="s">
        <v>87</v>
      </c>
      <c r="P61" s="21" t="s">
        <v>68</v>
      </c>
      <c r="Q61" s="21"/>
      <c r="R61" s="21"/>
      <c r="S61" s="21"/>
      <c r="T61" s="21"/>
      <c r="U61" s="21">
        <v>2014</v>
      </c>
      <c r="V61" s="24" t="s">
        <v>89</v>
      </c>
      <c r="W61" s="21" t="s">
        <v>392</v>
      </c>
      <c r="X61" s="113" t="s">
        <v>393</v>
      </c>
      <c r="Y61" s="113" t="s">
        <v>394</v>
      </c>
      <c r="Z61" s="113" t="s">
        <v>395</v>
      </c>
      <c r="AA61" s="21"/>
      <c r="AB61" s="26" t="s">
        <v>72</v>
      </c>
      <c r="AC61" s="21"/>
      <c r="AD61" s="113" t="s">
        <v>396</v>
      </c>
      <c r="AE61" s="21" t="s">
        <v>397</v>
      </c>
      <c r="AF61" s="22" t="s">
        <v>398</v>
      </c>
      <c r="AG61" s="21" t="s">
        <v>397</v>
      </c>
      <c r="AH61" s="21"/>
      <c r="AI61" s="21"/>
      <c r="AJ61" s="21"/>
      <c r="AK61" s="21"/>
      <c r="AL61" s="223"/>
      <c r="AM61" s="223"/>
      <c r="AN61" s="223"/>
      <c r="AO61" s="223"/>
      <c r="AP61" s="101" t="s">
        <v>402</v>
      </c>
      <c r="AQ61" s="96"/>
      <c r="AR61" s="96" t="s">
        <v>77</v>
      </c>
      <c r="AS61" s="96" t="s">
        <v>77</v>
      </c>
      <c r="AT61" s="96"/>
      <c r="AU61" s="96"/>
      <c r="AV61" s="96"/>
      <c r="AW61" s="96"/>
      <c r="AX61" s="96" t="s">
        <v>77</v>
      </c>
      <c r="AY61" s="96"/>
      <c r="AZ61" s="114" t="s">
        <v>177</v>
      </c>
    </row>
    <row r="62" spans="1:52" s="20" customFormat="1" ht="18.75" customHeight="1">
      <c r="A62" s="20">
        <v>55</v>
      </c>
      <c r="B62" s="243"/>
      <c r="C62" s="22" t="s">
        <v>403</v>
      </c>
      <c r="D62" s="21">
        <f t="shared" si="0"/>
        <v>55</v>
      </c>
      <c r="E62" s="29" t="s">
        <v>401</v>
      </c>
      <c r="F62" s="24" t="s">
        <v>60</v>
      </c>
      <c r="G62" s="21"/>
      <c r="H62" s="21"/>
      <c r="I62" s="24" t="s">
        <v>61</v>
      </c>
      <c r="J62" s="21" t="s">
        <v>380</v>
      </c>
      <c r="K62" s="21" t="s">
        <v>381</v>
      </c>
      <c r="L62" s="22" t="s">
        <v>390</v>
      </c>
      <c r="M62" s="22" t="s">
        <v>391</v>
      </c>
      <c r="N62" s="21" t="s">
        <v>86</v>
      </c>
      <c r="O62" s="21" t="s">
        <v>87</v>
      </c>
      <c r="P62" s="21" t="s">
        <v>68</v>
      </c>
      <c r="Q62" s="21"/>
      <c r="R62" s="21"/>
      <c r="S62" s="21"/>
      <c r="T62" s="21"/>
      <c r="U62" s="21">
        <v>2012</v>
      </c>
      <c r="V62" s="24" t="s">
        <v>89</v>
      </c>
      <c r="W62" s="21" t="s">
        <v>392</v>
      </c>
      <c r="X62" s="113" t="s">
        <v>393</v>
      </c>
      <c r="Y62" s="113" t="s">
        <v>394</v>
      </c>
      <c r="Z62" s="113" t="s">
        <v>395</v>
      </c>
      <c r="AA62" s="21"/>
      <c r="AB62" s="26" t="s">
        <v>72</v>
      </c>
      <c r="AC62" s="21"/>
      <c r="AD62" s="113" t="s">
        <v>396</v>
      </c>
      <c r="AE62" s="21" t="s">
        <v>397</v>
      </c>
      <c r="AF62" s="22" t="s">
        <v>398</v>
      </c>
      <c r="AG62" s="21" t="s">
        <v>397</v>
      </c>
      <c r="AH62" s="21"/>
      <c r="AI62" s="21"/>
      <c r="AJ62" s="21"/>
      <c r="AK62" s="21"/>
      <c r="AL62" s="223"/>
      <c r="AM62" s="223"/>
      <c r="AN62" s="223"/>
      <c r="AO62" s="223"/>
      <c r="AP62" s="101" t="s">
        <v>404</v>
      </c>
      <c r="AQ62" s="96"/>
      <c r="AR62" s="96" t="s">
        <v>77</v>
      </c>
      <c r="AS62" s="96" t="s">
        <v>77</v>
      </c>
      <c r="AT62" s="96"/>
      <c r="AU62" s="96"/>
      <c r="AV62" s="96"/>
      <c r="AW62" s="96"/>
      <c r="AX62" s="96" t="s">
        <v>77</v>
      </c>
      <c r="AY62" s="96"/>
      <c r="AZ62" s="114" t="s">
        <v>177</v>
      </c>
    </row>
  </sheetData>
  <autoFilter ref="A3:XEZ62" xr:uid="{6BC3ED1A-F3AB-47EF-A96F-99A1C456B024}"/>
  <mergeCells count="22">
    <mergeCell ref="AL2:AO2"/>
    <mergeCell ref="W2:X2"/>
    <mergeCell ref="Y2:Z2"/>
    <mergeCell ref="AQ2:AZ2"/>
    <mergeCell ref="B60:B62"/>
    <mergeCell ref="N2:P2"/>
    <mergeCell ref="AP2:AP3"/>
    <mergeCell ref="AH2:AJ2"/>
    <mergeCell ref="I2:M2"/>
    <mergeCell ref="Q2:T2"/>
    <mergeCell ref="AB2:AD2"/>
    <mergeCell ref="AE2:AG2"/>
    <mergeCell ref="B4:B16"/>
    <mergeCell ref="B17:B18"/>
    <mergeCell ref="B19:B32"/>
    <mergeCell ref="B33:B39"/>
    <mergeCell ref="B40:B45"/>
    <mergeCell ref="B56:B58"/>
    <mergeCell ref="B46:B47"/>
    <mergeCell ref="B48:B49"/>
    <mergeCell ref="B50:B52"/>
    <mergeCell ref="B53:B55"/>
  </mergeCells>
  <phoneticPr fontId="1" type="noConversion"/>
  <conditionalFormatting sqref="AF4:AG4 AD4:AD5">
    <cfRule type="cellIs" dxfId="13" priority="11" operator="equal">
      <formula>"No data"</formula>
    </cfRule>
  </conditionalFormatting>
  <conditionalFormatting sqref="AE5:AF5">
    <cfRule type="cellIs" dxfId="12" priority="10" operator="equal">
      <formula>"No data"</formula>
    </cfRule>
  </conditionalFormatting>
  <conditionalFormatting sqref="AE9:AG9">
    <cfRule type="cellIs" dxfId="11" priority="9" operator="equal">
      <formula>"No data"</formula>
    </cfRule>
  </conditionalFormatting>
  <conditionalFormatting sqref="AE4">
    <cfRule type="cellIs" dxfId="10" priority="5" operator="equal">
      <formula>"No data"</formula>
    </cfRule>
  </conditionalFormatting>
  <conditionalFormatting sqref="AD8">
    <cfRule type="cellIs" dxfId="9" priority="4" operator="equal">
      <formula>"No data"</formula>
    </cfRule>
  </conditionalFormatting>
  <conditionalFormatting sqref="AE11:AF11">
    <cfRule type="cellIs" dxfId="8" priority="3" operator="equal">
      <formula>"No data"</formula>
    </cfRule>
  </conditionalFormatting>
  <conditionalFormatting sqref="AG54:AG55 AG50:AG52 AG46:AG48 AG39:AG42 AG36 AG29:AG32 AG27 AG24:AG25 AG19:AG21 AG17 AG15 AG11 AG5">
    <cfRule type="cellIs" dxfId="7" priority="1" operator="equal">
      <formula>"No data"</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53FA-B1B3-4D06-9055-2875654E9E84}">
  <dimension ref="A2:AE147"/>
  <sheetViews>
    <sheetView workbookViewId="0">
      <pane xSplit="2" ySplit="4" topLeftCell="C5" activePane="bottomRight" state="frozen"/>
      <selection pane="bottomRight" activeCell="U91" sqref="U91"/>
      <selection pane="bottomLeft" activeCell="A4" sqref="A4"/>
      <selection pane="topRight"/>
    </sheetView>
  </sheetViews>
  <sheetFormatPr defaultColWidth="9" defaultRowHeight="13.5"/>
  <cols>
    <col min="1" max="1" width="5.625" style="15" bestFit="1" customWidth="1"/>
    <col min="2" max="2" width="17.875" style="15" customWidth="1"/>
    <col min="3" max="4" width="10.875" style="15" customWidth="1"/>
    <col min="5" max="5" width="13.375" style="15" customWidth="1"/>
    <col min="6" max="6" width="11.625" style="15" customWidth="1"/>
    <col min="7" max="7" width="8.125" style="15" customWidth="1"/>
    <col min="8" max="8" width="12.375" style="10" customWidth="1"/>
    <col min="9" max="9" width="12.25" style="10" customWidth="1"/>
    <col min="10" max="10" width="14.5" style="10" customWidth="1"/>
    <col min="11" max="11" width="17.75" style="10" customWidth="1"/>
    <col min="12" max="12" width="22.25" style="10" bestFit="1" customWidth="1"/>
    <col min="13" max="13" width="20.625" style="10" customWidth="1"/>
    <col min="14" max="14" width="18.875" style="10" customWidth="1"/>
    <col min="15" max="15" width="8.375" style="10" customWidth="1"/>
    <col min="16" max="16" width="25.75" style="10" customWidth="1"/>
    <col min="17" max="17" width="43.25" style="54" customWidth="1"/>
    <col min="18" max="18" width="10.375" style="54" customWidth="1"/>
    <col min="19" max="19" width="19.375" style="10" customWidth="1"/>
    <col min="20" max="20" width="8.875" style="10" customWidth="1"/>
    <col min="21" max="21" width="16.125" style="10" customWidth="1"/>
    <col min="22" max="22" width="20.125" style="10" customWidth="1"/>
    <col min="23" max="23" width="11.5" style="10" customWidth="1"/>
    <col min="24" max="24" width="17.25" style="10" customWidth="1"/>
    <col min="25" max="26" width="13.625" style="10" customWidth="1"/>
    <col min="27" max="27" width="9" style="10"/>
    <col min="28" max="28" width="55.75" style="10" customWidth="1"/>
    <col min="29" max="29" width="53" style="10" bestFit="1" customWidth="1"/>
    <col min="30" max="30" width="9" style="15"/>
    <col min="31" max="31" width="16.5" style="15" bestFit="1" customWidth="1"/>
    <col min="32" max="16384" width="9" style="15"/>
  </cols>
  <sheetData>
    <row r="2" spans="1:29">
      <c r="H2" s="10" t="s">
        <v>405</v>
      </c>
      <c r="I2" s="10" t="s">
        <v>406</v>
      </c>
      <c r="J2" s="10" t="s">
        <v>407</v>
      </c>
    </row>
    <row r="3" spans="1:29">
      <c r="A3" s="257" t="s">
        <v>408</v>
      </c>
      <c r="B3" s="19"/>
      <c r="C3" s="258" t="s">
        <v>409</v>
      </c>
      <c r="D3" s="259"/>
      <c r="E3" s="260"/>
      <c r="F3" s="71"/>
      <c r="G3" s="18"/>
      <c r="H3" s="254" t="s">
        <v>410</v>
      </c>
      <c r="I3" s="254"/>
      <c r="J3" s="254"/>
      <c r="K3" s="254"/>
      <c r="L3" s="254"/>
      <c r="M3" s="254"/>
      <c r="N3" s="254"/>
      <c r="O3" s="254"/>
      <c r="P3" s="254"/>
      <c r="Q3" s="254"/>
      <c r="R3" s="254"/>
      <c r="S3" s="254"/>
      <c r="T3" s="254"/>
      <c r="U3" s="254" t="s">
        <v>411</v>
      </c>
      <c r="V3" s="254"/>
      <c r="W3" s="254"/>
      <c r="X3" s="254"/>
      <c r="Y3" s="254"/>
      <c r="Z3" s="254"/>
      <c r="AA3" s="254"/>
      <c r="AB3" s="255" t="s">
        <v>412</v>
      </c>
      <c r="AC3" s="256"/>
    </row>
    <row r="4" spans="1:29">
      <c r="A4" s="257"/>
      <c r="B4" s="19" t="s">
        <v>413</v>
      </c>
      <c r="C4" s="17" t="s">
        <v>86</v>
      </c>
      <c r="D4" s="17" t="s">
        <v>414</v>
      </c>
      <c r="E4" s="17" t="s">
        <v>415</v>
      </c>
      <c r="F4" s="55" t="s">
        <v>416</v>
      </c>
      <c r="G4" s="18" t="s">
        <v>417</v>
      </c>
      <c r="H4" s="56" t="s">
        <v>418</v>
      </c>
      <c r="I4" s="56" t="s">
        <v>419</v>
      </c>
      <c r="J4" s="56" t="s">
        <v>420</v>
      </c>
      <c r="K4" s="144" t="s">
        <v>421</v>
      </c>
      <c r="L4" s="144" t="s">
        <v>422</v>
      </c>
      <c r="M4" s="57" t="s">
        <v>423</v>
      </c>
      <c r="N4" s="57" t="s">
        <v>424</v>
      </c>
      <c r="O4" s="57" t="s">
        <v>425</v>
      </c>
      <c r="P4" s="145" t="s">
        <v>426</v>
      </c>
      <c r="Q4" s="164" t="s">
        <v>427</v>
      </c>
      <c r="R4" s="58" t="s">
        <v>428</v>
      </c>
      <c r="S4" s="57" t="s">
        <v>429</v>
      </c>
      <c r="T4" s="57" t="s">
        <v>430</v>
      </c>
      <c r="U4" s="57" t="s">
        <v>431</v>
      </c>
      <c r="V4" s="57" t="s">
        <v>432</v>
      </c>
      <c r="W4" s="57" t="s">
        <v>433</v>
      </c>
      <c r="X4" s="57" t="s">
        <v>434</v>
      </c>
      <c r="Y4" s="145" t="s">
        <v>435</v>
      </c>
      <c r="Z4" s="145" t="s">
        <v>436</v>
      </c>
      <c r="AA4" s="57" t="s">
        <v>437</v>
      </c>
      <c r="AB4" s="57" t="s">
        <v>438</v>
      </c>
      <c r="AC4" s="57" t="s">
        <v>439</v>
      </c>
    </row>
    <row r="5" spans="1:29" ht="16.5">
      <c r="A5" s="61">
        <f>VLOOKUP(B5,'서비스 Master'!$C$4:$D$62,2,FALSE)</f>
        <v>1</v>
      </c>
      <c r="B5" s="2" t="s">
        <v>58</v>
      </c>
      <c r="C5" s="61" t="str">
        <f>VLOOKUP(B5,'서비스 Master'!$C$4:$P$62,14,FALSE)</f>
        <v>김햇빛</v>
      </c>
      <c r="D5" s="61" t="str">
        <f>VLOOKUP(B5,'서비스 Master'!$C$4:$P$62,10,FALSE)</f>
        <v>조래옥</v>
      </c>
      <c r="E5" s="61" t="str">
        <f>VLOOKUP(B5,'서비스 Master'!$C$4:$P$62,11,FALSE)</f>
        <v>유원혁</v>
      </c>
      <c r="F5" s="2" t="s">
        <v>97</v>
      </c>
      <c r="G5" s="2" t="s">
        <v>440</v>
      </c>
      <c r="H5" s="2" t="s">
        <v>441</v>
      </c>
      <c r="I5" s="2" t="s">
        <v>442</v>
      </c>
      <c r="J5" s="2" t="s">
        <v>421</v>
      </c>
      <c r="K5" s="173" t="s">
        <v>443</v>
      </c>
      <c r="L5" s="173"/>
      <c r="M5" s="2" t="s">
        <v>444</v>
      </c>
      <c r="N5" s="66" t="s">
        <v>445</v>
      </c>
      <c r="O5" s="2">
        <v>443</v>
      </c>
      <c r="P5" s="155" t="s">
        <v>446</v>
      </c>
      <c r="Q5" s="153" t="s">
        <v>447</v>
      </c>
      <c r="R5" s="158" t="s">
        <v>448</v>
      </c>
      <c r="S5" s="2" t="s">
        <v>449</v>
      </c>
      <c r="T5" s="2" t="s">
        <v>450</v>
      </c>
      <c r="U5" s="2" t="s">
        <v>451</v>
      </c>
      <c r="V5" s="2" t="s">
        <v>452</v>
      </c>
      <c r="W5" s="2">
        <v>51433</v>
      </c>
      <c r="X5" s="2" t="s">
        <v>453</v>
      </c>
      <c r="Y5" s="2" t="s">
        <v>73</v>
      </c>
      <c r="Z5" s="2">
        <v>177.2</v>
      </c>
      <c r="AA5" s="2" t="s">
        <v>454</v>
      </c>
      <c r="AB5" s="62" t="s">
        <v>455</v>
      </c>
      <c r="AC5" s="2" t="s">
        <v>456</v>
      </c>
    </row>
    <row r="6" spans="1:29">
      <c r="A6" s="61">
        <f>VLOOKUP(B6,'서비스 Master'!$C$4:$D$62,2,FALSE)</f>
        <v>1</v>
      </c>
      <c r="B6" s="2" t="s">
        <v>58</v>
      </c>
      <c r="C6" s="61" t="str">
        <f>VLOOKUP(B6,'서비스 Master'!$C$4:$P$62,14,FALSE)</f>
        <v>김햇빛</v>
      </c>
      <c r="D6" s="61" t="str">
        <f>VLOOKUP(B6,'서비스 Master'!$C$4:$P$62,10,FALSE)</f>
        <v>조래옥</v>
      </c>
      <c r="E6" s="61" t="str">
        <f>VLOOKUP(B6,'서비스 Master'!$C$4:$P$62,11,FALSE)</f>
        <v>유원혁</v>
      </c>
      <c r="F6" s="2" t="s">
        <v>97</v>
      </c>
      <c r="G6" s="2" t="s">
        <v>457</v>
      </c>
      <c r="H6" s="2" t="s">
        <v>441</v>
      </c>
      <c r="I6" s="2" t="s">
        <v>458</v>
      </c>
      <c r="J6" s="2" t="s">
        <v>421</v>
      </c>
      <c r="K6" s="173" t="s">
        <v>459</v>
      </c>
      <c r="L6" s="173"/>
      <c r="M6" s="2" t="s">
        <v>460</v>
      </c>
      <c r="N6" s="66" t="s">
        <v>461</v>
      </c>
      <c r="O6" s="2">
        <v>443</v>
      </c>
      <c r="P6" s="155" t="s">
        <v>462</v>
      </c>
      <c r="Q6" s="129" t="s">
        <v>463</v>
      </c>
      <c r="R6" s="158" t="s">
        <v>448</v>
      </c>
      <c r="S6" s="2" t="s">
        <v>449</v>
      </c>
      <c r="T6" s="2" t="s">
        <v>450</v>
      </c>
      <c r="U6" s="2" t="s">
        <v>464</v>
      </c>
      <c r="V6" s="2" t="s">
        <v>465</v>
      </c>
      <c r="W6" s="2">
        <v>51433</v>
      </c>
      <c r="X6" s="2" t="s">
        <v>453</v>
      </c>
      <c r="Y6" s="2" t="s">
        <v>73</v>
      </c>
      <c r="Z6" s="2">
        <v>0</v>
      </c>
      <c r="AA6" s="2" t="s">
        <v>454</v>
      </c>
      <c r="AB6" s="62"/>
      <c r="AC6" s="2"/>
    </row>
    <row r="7" spans="1:29">
      <c r="A7" s="61">
        <f>VLOOKUP(B7,'서비스 Master'!$C$4:$D$62,2,FALSE)</f>
        <v>2</v>
      </c>
      <c r="B7" s="2" t="s">
        <v>80</v>
      </c>
      <c r="C7" s="61" t="str">
        <f>VLOOKUP(B7,'서비스 Master'!$C$4:$P$62,14,FALSE)</f>
        <v>유현상</v>
      </c>
      <c r="D7" s="61" t="str">
        <f>VLOOKUP(B7,'서비스 Master'!$C$4:$P$62,10,FALSE)</f>
        <v>이용재</v>
      </c>
      <c r="E7" s="61" t="str">
        <f>VLOOKUP(B7,'서비스 Master'!$C$4:$P$62,11,FALSE)</f>
        <v>민준홍</v>
      </c>
      <c r="F7" s="2" t="s">
        <v>97</v>
      </c>
      <c r="G7" s="2" t="s">
        <v>440</v>
      </c>
      <c r="H7" s="2" t="s">
        <v>466</v>
      </c>
      <c r="I7" s="2"/>
      <c r="J7" s="2" t="s">
        <v>421</v>
      </c>
      <c r="K7" s="173"/>
      <c r="L7" s="173" t="s">
        <v>467</v>
      </c>
      <c r="M7" s="2" t="s">
        <v>468</v>
      </c>
      <c r="N7" s="212" t="s">
        <v>469</v>
      </c>
      <c r="O7" s="2">
        <v>3389</v>
      </c>
      <c r="P7" s="155" t="s">
        <v>470</v>
      </c>
      <c r="Q7" s="129" t="s">
        <v>471</v>
      </c>
      <c r="R7" s="158"/>
      <c r="S7" s="2" t="s">
        <v>449</v>
      </c>
      <c r="T7" s="2" t="s">
        <v>472</v>
      </c>
      <c r="U7" s="2" t="s">
        <v>473</v>
      </c>
      <c r="V7" s="2" t="s">
        <v>474</v>
      </c>
      <c r="W7" s="2">
        <v>51433</v>
      </c>
      <c r="X7" s="2" t="s">
        <v>475</v>
      </c>
      <c r="Y7" s="2" t="s">
        <v>96</v>
      </c>
      <c r="Z7" s="2">
        <v>63.8</v>
      </c>
      <c r="AA7" s="2"/>
      <c r="AB7" s="62"/>
      <c r="AC7" s="2"/>
    </row>
    <row r="8" spans="1:29">
      <c r="A8" s="61">
        <f>VLOOKUP(B8,'서비스 Master'!$C$4:$D$62,2,FALSE)</f>
        <v>2</v>
      </c>
      <c r="B8" s="2" t="s">
        <v>80</v>
      </c>
      <c r="C8" s="61" t="str">
        <f>VLOOKUP(B8,'서비스 Master'!$C$4:$P$62,14,FALSE)</f>
        <v>유현상</v>
      </c>
      <c r="D8" s="61" t="str">
        <f>VLOOKUP(B8,'서비스 Master'!$C$4:$P$62,10,FALSE)</f>
        <v>이용재</v>
      </c>
      <c r="E8" s="61" t="str">
        <f>VLOOKUP(B8,'서비스 Master'!$C$4:$P$62,11,FALSE)</f>
        <v>민준홍</v>
      </c>
      <c r="F8" s="2" t="s">
        <v>97</v>
      </c>
      <c r="G8" s="2" t="s">
        <v>440</v>
      </c>
      <c r="H8" s="2" t="s">
        <v>466</v>
      </c>
      <c r="I8" s="2"/>
      <c r="J8" s="2" t="s">
        <v>421</v>
      </c>
      <c r="K8" s="173"/>
      <c r="L8" s="173" t="s">
        <v>467</v>
      </c>
      <c r="M8" s="2" t="s">
        <v>476</v>
      </c>
      <c r="N8" s="212" t="s">
        <v>477</v>
      </c>
      <c r="O8" s="2">
        <v>3389</v>
      </c>
      <c r="P8" s="155" t="s">
        <v>470</v>
      </c>
      <c r="Q8" s="129" t="s">
        <v>471</v>
      </c>
      <c r="R8" s="158"/>
      <c r="S8" s="2"/>
      <c r="T8" s="2"/>
      <c r="U8" s="2" t="s">
        <v>473</v>
      </c>
      <c r="V8" s="2" t="s">
        <v>474</v>
      </c>
      <c r="W8" s="2">
        <v>51433</v>
      </c>
      <c r="X8" s="2" t="s">
        <v>475</v>
      </c>
      <c r="Y8" s="2" t="s">
        <v>96</v>
      </c>
      <c r="Z8" s="2">
        <v>63.8</v>
      </c>
      <c r="AA8" s="2"/>
      <c r="AB8" s="62"/>
      <c r="AC8" s="2" t="s">
        <v>478</v>
      </c>
    </row>
    <row r="9" spans="1:29" ht="16.5">
      <c r="A9" s="61">
        <f>VLOOKUP(B9,'서비스 Master'!$C$4:$D$62,2,FALSE)</f>
        <v>2</v>
      </c>
      <c r="B9" s="2" t="s">
        <v>80</v>
      </c>
      <c r="C9" s="61" t="str">
        <f>VLOOKUP(B9,'서비스 Master'!$C$4:$P$62,14,FALSE)</f>
        <v>유현상</v>
      </c>
      <c r="D9" s="61" t="str">
        <f>VLOOKUP(B9,'서비스 Master'!$C$4:$P$62,10,FALSE)</f>
        <v>이용재</v>
      </c>
      <c r="E9" s="61" t="str">
        <f>VLOOKUP(B9,'서비스 Master'!$C$4:$P$62,11,FALSE)</f>
        <v>민준홍</v>
      </c>
      <c r="F9" s="2" t="s">
        <v>97</v>
      </c>
      <c r="G9" s="2" t="s">
        <v>440</v>
      </c>
      <c r="H9" s="2" t="s">
        <v>466</v>
      </c>
      <c r="I9" s="2"/>
      <c r="J9" s="2" t="s">
        <v>479</v>
      </c>
      <c r="K9" s="173" t="s">
        <v>480</v>
      </c>
      <c r="L9" s="173" t="s">
        <v>467</v>
      </c>
      <c r="M9" s="2" t="s">
        <v>481</v>
      </c>
      <c r="N9" s="2" t="s">
        <v>482</v>
      </c>
      <c r="O9" s="2">
        <v>3389</v>
      </c>
      <c r="P9" s="155" t="s">
        <v>470</v>
      </c>
      <c r="Q9" s="153" t="s">
        <v>483</v>
      </c>
      <c r="R9"/>
      <c r="S9" s="2"/>
      <c r="T9" s="2"/>
      <c r="U9" s="2" t="s">
        <v>473</v>
      </c>
      <c r="V9" s="2" t="s">
        <v>474</v>
      </c>
      <c r="W9" s="2">
        <v>51433</v>
      </c>
      <c r="X9" s="2" t="s">
        <v>475</v>
      </c>
      <c r="Y9" s="2" t="s">
        <v>96</v>
      </c>
      <c r="Z9" s="2">
        <v>63.8</v>
      </c>
      <c r="AA9" s="2"/>
      <c r="AB9" s="62" t="s">
        <v>484</v>
      </c>
      <c r="AC9" s="2" t="s">
        <v>478</v>
      </c>
    </row>
    <row r="10" spans="1:29">
      <c r="A10" s="61">
        <f>VLOOKUP(B10,'서비스 Master'!$C$4:$D$62,2,FALSE)</f>
        <v>2</v>
      </c>
      <c r="B10" s="2" t="s">
        <v>80</v>
      </c>
      <c r="C10" s="61" t="str">
        <f>VLOOKUP(B10,'서비스 Master'!$C$4:$P$62,14,FALSE)</f>
        <v>유현상</v>
      </c>
      <c r="D10" s="61" t="str">
        <f>VLOOKUP(B10,'서비스 Master'!$C$4:$P$62,10,FALSE)</f>
        <v>이용재</v>
      </c>
      <c r="E10" s="61" t="str">
        <f>VLOOKUP(B10,'서비스 Master'!$C$4:$P$62,11,FALSE)</f>
        <v>민준홍</v>
      </c>
      <c r="F10" s="2" t="s">
        <v>97</v>
      </c>
      <c r="G10" s="2" t="s">
        <v>485</v>
      </c>
      <c r="H10" s="2" t="s">
        <v>466</v>
      </c>
      <c r="I10" s="2"/>
      <c r="J10" s="2" t="s">
        <v>421</v>
      </c>
      <c r="K10" s="173"/>
      <c r="L10" s="173" t="s">
        <v>467</v>
      </c>
      <c r="M10" s="2" t="s">
        <v>486</v>
      </c>
      <c r="N10" s="212" t="s">
        <v>487</v>
      </c>
      <c r="O10" s="2">
        <v>53389</v>
      </c>
      <c r="P10" s="155" t="s">
        <v>470</v>
      </c>
      <c r="Q10" s="129" t="s">
        <v>488</v>
      </c>
      <c r="R10" s="158"/>
      <c r="S10" s="2" t="s">
        <v>449</v>
      </c>
      <c r="T10" s="2" t="s">
        <v>472</v>
      </c>
      <c r="U10" s="2" t="s">
        <v>489</v>
      </c>
      <c r="V10" s="2" t="s">
        <v>490</v>
      </c>
      <c r="W10" s="2">
        <v>51433</v>
      </c>
      <c r="X10" s="104" t="s">
        <v>491</v>
      </c>
      <c r="Y10" s="2" t="s">
        <v>96</v>
      </c>
      <c r="Z10" s="2">
        <v>41.2</v>
      </c>
      <c r="AA10" s="2"/>
      <c r="AB10" s="62"/>
      <c r="AC10" s="2"/>
    </row>
    <row r="11" spans="1:29">
      <c r="A11" s="61">
        <f>VLOOKUP(B11,'서비스 Master'!$C$4:$D$62,2,FALSE)</f>
        <v>5</v>
      </c>
      <c r="B11" s="2" t="s">
        <v>492</v>
      </c>
      <c r="C11" s="61" t="str">
        <f>VLOOKUP(B11,'서비스 Master'!$C$4:$P$62,14,FALSE)</f>
        <v>김햇빛</v>
      </c>
      <c r="D11" s="61" t="str">
        <f>VLOOKUP(B11,'서비스 Master'!$C$4:$P$62,10,FALSE)</f>
        <v>이인</v>
      </c>
      <c r="E11" s="61" t="str">
        <f>VLOOKUP(B11,'서비스 Master'!$C$4:$P$62,11,FALSE)</f>
        <v>김건휘</v>
      </c>
      <c r="F11" s="2" t="s">
        <v>97</v>
      </c>
      <c r="G11" s="2" t="s">
        <v>440</v>
      </c>
      <c r="H11" s="2" t="s">
        <v>466</v>
      </c>
      <c r="I11" s="2"/>
      <c r="J11" s="2" t="s">
        <v>493</v>
      </c>
      <c r="K11" s="173"/>
      <c r="L11" s="173"/>
      <c r="M11" s="2" t="s">
        <v>494</v>
      </c>
      <c r="N11" s="212" t="s">
        <v>495</v>
      </c>
      <c r="O11" s="2"/>
      <c r="P11" s="155" t="s">
        <v>496</v>
      </c>
      <c r="Q11" s="129" t="s">
        <v>497</v>
      </c>
      <c r="R11" s="158"/>
      <c r="S11" s="2" t="s">
        <v>449</v>
      </c>
      <c r="T11" s="2" t="s">
        <v>498</v>
      </c>
      <c r="U11" s="2" t="s">
        <v>473</v>
      </c>
      <c r="V11" s="2" t="s">
        <v>474</v>
      </c>
      <c r="W11" s="2">
        <v>51433</v>
      </c>
      <c r="X11" s="2" t="s">
        <v>492</v>
      </c>
      <c r="Y11" s="2" t="s">
        <v>96</v>
      </c>
      <c r="Z11" s="2">
        <v>8.1</v>
      </c>
      <c r="AA11" s="2"/>
      <c r="AB11" s="62" t="s">
        <v>499</v>
      </c>
      <c r="AC11" s="2"/>
    </row>
    <row r="12" spans="1:29">
      <c r="A12" s="61">
        <f>VLOOKUP(B12,'서비스 Master'!$C$4:$D$62,2,FALSE)</f>
        <v>5</v>
      </c>
      <c r="B12" s="2" t="s">
        <v>492</v>
      </c>
      <c r="C12" s="61" t="str">
        <f>VLOOKUP(B12,'서비스 Master'!$C$4:$P$62,14,FALSE)</f>
        <v>김햇빛</v>
      </c>
      <c r="D12" s="61" t="str">
        <f>VLOOKUP(B12,'서비스 Master'!$C$4:$P$62,10,FALSE)</f>
        <v>이인</v>
      </c>
      <c r="E12" s="61" t="str">
        <f>VLOOKUP(B12,'서비스 Master'!$C$4:$P$62,11,FALSE)</f>
        <v>김건휘</v>
      </c>
      <c r="F12" s="2" t="s">
        <v>97</v>
      </c>
      <c r="G12" s="2" t="s">
        <v>457</v>
      </c>
      <c r="H12" s="2" t="s">
        <v>466</v>
      </c>
      <c r="I12" s="2"/>
      <c r="J12" s="2" t="s">
        <v>493</v>
      </c>
      <c r="K12" s="173"/>
      <c r="L12" s="173"/>
      <c r="M12" s="2" t="s">
        <v>500</v>
      </c>
      <c r="N12" s="212" t="s">
        <v>501</v>
      </c>
      <c r="O12" s="2"/>
      <c r="P12" s="155" t="s">
        <v>496</v>
      </c>
      <c r="Q12" s="149" t="s">
        <v>502</v>
      </c>
      <c r="R12" s="159"/>
      <c r="S12" s="2" t="s">
        <v>449</v>
      </c>
      <c r="T12" s="2" t="s">
        <v>498</v>
      </c>
      <c r="U12" s="2" t="s">
        <v>503</v>
      </c>
      <c r="V12" s="2" t="s">
        <v>490</v>
      </c>
      <c r="W12" s="2">
        <v>51433</v>
      </c>
      <c r="X12" s="2" t="s">
        <v>492</v>
      </c>
      <c r="Y12" s="2" t="s">
        <v>96</v>
      </c>
      <c r="Z12" s="2">
        <v>7.7</v>
      </c>
      <c r="AA12" s="2"/>
      <c r="AB12" s="62" t="s">
        <v>457</v>
      </c>
      <c r="AC12" s="2"/>
    </row>
    <row r="13" spans="1:29" ht="16.5">
      <c r="A13" s="61">
        <f>VLOOKUP(B13,'서비스 Master'!$C$4:$D$62,2,FALSE)</f>
        <v>7</v>
      </c>
      <c r="B13" s="2" t="s">
        <v>115</v>
      </c>
      <c r="C13" s="61" t="str">
        <f>VLOOKUP(B13,'서비스 Master'!$C$4:$P$62,14,FALSE)</f>
        <v>김햇빛</v>
      </c>
      <c r="D13" s="61" t="str">
        <f>VLOOKUP(B13,'서비스 Master'!$C$4:$P$62,10,FALSE)</f>
        <v>조래옥</v>
      </c>
      <c r="E13" s="61" t="str">
        <f>VLOOKUP(B13,'서비스 Master'!$C$4:$P$62,11,FALSE)</f>
        <v>정정배/김기정</v>
      </c>
      <c r="F13" s="66" t="s">
        <v>97</v>
      </c>
      <c r="G13" s="2" t="s">
        <v>440</v>
      </c>
      <c r="H13" s="2" t="s">
        <v>441</v>
      </c>
      <c r="I13" s="2"/>
      <c r="J13" s="2" t="s">
        <v>421</v>
      </c>
      <c r="K13" s="174" t="s">
        <v>504</v>
      </c>
      <c r="L13" s="174" t="s">
        <v>504</v>
      </c>
      <c r="M13" s="2" t="s">
        <v>505</v>
      </c>
      <c r="N13" s="2" t="s">
        <v>506</v>
      </c>
      <c r="O13" s="2">
        <v>80</v>
      </c>
      <c r="P13" s="156" t="s">
        <v>507</v>
      </c>
      <c r="Q13" s="222" t="s">
        <v>508</v>
      </c>
      <c r="R13" s="158" t="s">
        <v>448</v>
      </c>
      <c r="S13" s="2" t="s">
        <v>449</v>
      </c>
      <c r="T13" s="2" t="s">
        <v>509</v>
      </c>
      <c r="U13" s="62" t="s">
        <v>510</v>
      </c>
      <c r="V13" s="62" t="s">
        <v>511</v>
      </c>
      <c r="W13" s="2">
        <v>1521</v>
      </c>
      <c r="X13" s="2"/>
      <c r="Y13" s="133" t="s">
        <v>120</v>
      </c>
      <c r="Z13" s="2">
        <v>22.5</v>
      </c>
      <c r="AA13" s="2"/>
      <c r="AB13" s="62" t="s">
        <v>512</v>
      </c>
      <c r="AC13" s="2" t="s">
        <v>513</v>
      </c>
    </row>
    <row r="14" spans="1:29">
      <c r="A14" s="61">
        <f>VLOOKUP(B14,'서비스 Master'!$C$4:$D$62,2,FALSE)</f>
        <v>8</v>
      </c>
      <c r="B14" s="2" t="s">
        <v>514</v>
      </c>
      <c r="C14" s="61" t="str">
        <f>VLOOKUP(B14,'서비스 Master'!$C$4:$P$62,14,FALSE)</f>
        <v>민석홍</v>
      </c>
      <c r="D14" s="61" t="str">
        <f>VLOOKUP(B14,'서비스 Master'!$C$4:$P$62,10,FALSE)</f>
        <v>조래옥</v>
      </c>
      <c r="E14" s="61" t="str">
        <f>VLOOKUP(B14,'서비스 Master'!$C$4:$P$62,11,FALSE)</f>
        <v>경규민</v>
      </c>
      <c r="F14" s="66" t="s">
        <v>97</v>
      </c>
      <c r="G14" s="2" t="s">
        <v>515</v>
      </c>
      <c r="H14" s="2" t="s">
        <v>466</v>
      </c>
      <c r="I14" s="2"/>
      <c r="J14" s="2" t="s">
        <v>421</v>
      </c>
      <c r="K14" s="173"/>
      <c r="L14" s="173"/>
      <c r="M14" s="2"/>
      <c r="N14" s="2"/>
      <c r="O14" s="2"/>
      <c r="P14" s="155"/>
      <c r="Q14" s="129"/>
      <c r="R14" s="158"/>
      <c r="S14" s="2" t="s">
        <v>449</v>
      </c>
      <c r="T14" s="2" t="s">
        <v>509</v>
      </c>
      <c r="U14" s="2"/>
      <c r="V14" s="2"/>
      <c r="W14" s="2"/>
      <c r="X14" s="2"/>
      <c r="Y14" s="2"/>
      <c r="Z14" s="2"/>
      <c r="AA14" s="2"/>
      <c r="AB14" s="62" t="s">
        <v>516</v>
      </c>
      <c r="AC14" s="2" t="s">
        <v>513</v>
      </c>
    </row>
    <row r="15" spans="1:29" s="147" customFormat="1">
      <c r="A15" s="140" t="e">
        <f>VLOOKUP(B15,'서비스 Master'!$C$4:$D$62,2,FALSE)</f>
        <v>#N/A</v>
      </c>
      <c r="B15" s="133" t="s">
        <v>517</v>
      </c>
      <c r="C15" s="140" t="s">
        <v>518</v>
      </c>
      <c r="D15" s="140"/>
      <c r="E15" s="140" t="s">
        <v>519</v>
      </c>
      <c r="F15" s="133" t="s">
        <v>97</v>
      </c>
      <c r="G15" s="133" t="s">
        <v>440</v>
      </c>
      <c r="H15" s="133" t="s">
        <v>441</v>
      </c>
      <c r="I15" s="133" t="s">
        <v>458</v>
      </c>
      <c r="J15" s="133"/>
      <c r="K15" s="174" t="s">
        <v>520</v>
      </c>
      <c r="L15" s="174"/>
      <c r="M15" s="133" t="s">
        <v>521</v>
      </c>
      <c r="N15" s="133" t="s">
        <v>522</v>
      </c>
      <c r="O15" s="133">
        <v>443</v>
      </c>
      <c r="P15" s="156" t="s">
        <v>470</v>
      </c>
      <c r="Q15" s="150"/>
      <c r="R15" s="160" t="s">
        <v>448</v>
      </c>
      <c r="S15" s="133"/>
      <c r="T15" s="133"/>
      <c r="U15" s="133" t="s">
        <v>521</v>
      </c>
      <c r="V15" s="133" t="s">
        <v>522</v>
      </c>
      <c r="W15" s="133"/>
      <c r="X15" s="133"/>
      <c r="Y15" s="133" t="s">
        <v>523</v>
      </c>
      <c r="Z15" s="133"/>
      <c r="AA15" s="133"/>
      <c r="AB15" s="146" t="s">
        <v>524</v>
      </c>
      <c r="AC15" s="133" t="s">
        <v>525</v>
      </c>
    </row>
    <row r="16" spans="1:29" ht="16.5">
      <c r="A16" s="61">
        <f>VLOOKUP(B16,'서비스 Master'!$C$4:$D$62,2,FALSE)</f>
        <v>9</v>
      </c>
      <c r="B16" s="2" t="s">
        <v>129</v>
      </c>
      <c r="C16" s="61" t="str">
        <f>VLOOKUP(B16,'서비스 Master'!$C$4:$P$62,14,FALSE)</f>
        <v>민석홍</v>
      </c>
      <c r="D16" s="61" t="str">
        <f>VLOOKUP(B16,'서비스 Master'!$C$4:$P$62,10,FALSE)</f>
        <v>조래옥</v>
      </c>
      <c r="E16" s="61" t="str">
        <f>VLOOKUP(B16,'서비스 Master'!$C$4:$P$62,11,FALSE)</f>
        <v>구본호</v>
      </c>
      <c r="F16" s="66" t="s">
        <v>97</v>
      </c>
      <c r="G16" s="2" t="s">
        <v>440</v>
      </c>
      <c r="H16" s="2" t="s">
        <v>466</v>
      </c>
      <c r="I16" s="2"/>
      <c r="J16" s="2" t="s">
        <v>421</v>
      </c>
      <c r="K16" s="173"/>
      <c r="L16" s="173" t="s">
        <v>526</v>
      </c>
      <c r="M16" s="2" t="s">
        <v>527</v>
      </c>
      <c r="N16" s="212" t="s">
        <v>528</v>
      </c>
      <c r="O16" s="2">
        <v>55522</v>
      </c>
      <c r="P16" s="155" t="s">
        <v>529</v>
      </c>
      <c r="Q16" s="222" t="s">
        <v>530</v>
      </c>
      <c r="R16" s="161"/>
      <c r="S16" s="2" t="s">
        <v>449</v>
      </c>
      <c r="T16" s="2" t="s">
        <v>450</v>
      </c>
      <c r="U16" s="2" t="s">
        <v>531</v>
      </c>
      <c r="V16" s="2" t="s">
        <v>532</v>
      </c>
      <c r="W16" s="2">
        <v>27017</v>
      </c>
      <c r="X16" s="2" t="s">
        <v>533</v>
      </c>
      <c r="Y16" s="133" t="s">
        <v>534</v>
      </c>
      <c r="Z16" s="2">
        <v>9.8000000000000007</v>
      </c>
      <c r="AA16" s="2"/>
      <c r="AB16" s="62" t="s">
        <v>535</v>
      </c>
      <c r="AC16" s="2"/>
    </row>
    <row r="17" spans="1:29">
      <c r="A17" s="61">
        <f>VLOOKUP(B17,'서비스 Master'!$C$4:$D$62,2,FALSE)</f>
        <v>9</v>
      </c>
      <c r="B17" s="2" t="s">
        <v>129</v>
      </c>
      <c r="C17" s="61" t="str">
        <f>VLOOKUP(B17,'서비스 Master'!$C$4:$P$62,14,FALSE)</f>
        <v>민석홍</v>
      </c>
      <c r="D17" s="61" t="str">
        <f>VLOOKUP(B17,'서비스 Master'!$C$4:$P$62,10,FALSE)</f>
        <v>조래옥</v>
      </c>
      <c r="E17" s="61" t="str">
        <f>VLOOKUP(B17,'서비스 Master'!$C$4:$P$62,11,FALSE)</f>
        <v>구본호</v>
      </c>
      <c r="F17" s="2" t="s">
        <v>97</v>
      </c>
      <c r="G17" s="2" t="s">
        <v>457</v>
      </c>
      <c r="H17" s="2" t="s">
        <v>466</v>
      </c>
      <c r="I17" s="2"/>
      <c r="J17" s="2" t="s">
        <v>421</v>
      </c>
      <c r="K17" s="173"/>
      <c r="L17" s="173" t="s">
        <v>536</v>
      </c>
      <c r="M17" s="2" t="s">
        <v>537</v>
      </c>
      <c r="N17" s="212" t="s">
        <v>538</v>
      </c>
      <c r="O17" s="2">
        <v>55522</v>
      </c>
      <c r="P17" s="155" t="s">
        <v>529</v>
      </c>
      <c r="Q17" s="149" t="s">
        <v>539</v>
      </c>
      <c r="R17" s="159"/>
      <c r="S17" s="2" t="s">
        <v>449</v>
      </c>
      <c r="T17" s="2" t="s">
        <v>450</v>
      </c>
      <c r="U17" s="2" t="s">
        <v>540</v>
      </c>
      <c r="V17" s="2" t="s">
        <v>541</v>
      </c>
      <c r="W17" s="2">
        <v>27017</v>
      </c>
      <c r="X17" s="2" t="s">
        <v>533</v>
      </c>
      <c r="Y17" s="133" t="s">
        <v>534</v>
      </c>
      <c r="Z17" s="2">
        <v>10.4</v>
      </c>
      <c r="AA17" s="2"/>
      <c r="AB17" s="62" t="s">
        <v>535</v>
      </c>
      <c r="AC17" s="2"/>
    </row>
    <row r="18" spans="1:29" ht="16.5">
      <c r="A18" s="61">
        <f>VLOOKUP(B18,'서비스 Master'!$C$4:$D$62,2,FALSE)</f>
        <v>0</v>
      </c>
      <c r="B18" s="2" t="s">
        <v>140</v>
      </c>
      <c r="C18" s="61" t="str">
        <f>VLOOKUP(B18,'서비스 Master'!$C$4:$P$62,14,FALSE)</f>
        <v>민석홍</v>
      </c>
      <c r="D18" s="61" t="str">
        <f>VLOOKUP(B18,'서비스 Master'!$C$4:$P$62,10,FALSE)</f>
        <v>조래옥</v>
      </c>
      <c r="E18" s="61" t="str">
        <f>VLOOKUP(B18,'서비스 Master'!$C$4:$P$62,11,FALSE)</f>
        <v>구본호</v>
      </c>
      <c r="F18" s="2" t="s">
        <v>97</v>
      </c>
      <c r="G18" s="2" t="s">
        <v>440</v>
      </c>
      <c r="H18" s="2" t="s">
        <v>441</v>
      </c>
      <c r="I18" s="2"/>
      <c r="J18" s="2" t="s">
        <v>421</v>
      </c>
      <c r="K18" s="173"/>
      <c r="L18" s="173" t="s">
        <v>542</v>
      </c>
      <c r="M18" s="2" t="s">
        <v>543</v>
      </c>
      <c r="N18" s="2" t="s">
        <v>544</v>
      </c>
      <c r="O18" s="2">
        <v>55522</v>
      </c>
      <c r="P18" s="155" t="s">
        <v>545</v>
      </c>
      <c r="Q18" s="153" t="s">
        <v>546</v>
      </c>
      <c r="R18" s="158" t="s">
        <v>448</v>
      </c>
      <c r="S18" s="2" t="s">
        <v>449</v>
      </c>
      <c r="T18" s="2" t="s">
        <v>450</v>
      </c>
      <c r="U18" s="2" t="s">
        <v>547</v>
      </c>
      <c r="V18" s="2" t="s">
        <v>548</v>
      </c>
      <c r="W18" s="2">
        <v>55432</v>
      </c>
      <c r="X18" s="2" t="s">
        <v>549</v>
      </c>
      <c r="Y18" s="2" t="s">
        <v>146</v>
      </c>
      <c r="Z18" s="2">
        <v>14</v>
      </c>
      <c r="AA18" s="2"/>
      <c r="AB18" s="62" t="s">
        <v>550</v>
      </c>
      <c r="AC18" s="2"/>
    </row>
    <row r="19" spans="1:29">
      <c r="A19" s="61">
        <f>VLOOKUP(B19,'서비스 Master'!$C$4:$D$62,2,FALSE)</f>
        <v>0</v>
      </c>
      <c r="B19" s="2" t="s">
        <v>140</v>
      </c>
      <c r="C19" s="61" t="str">
        <f>VLOOKUP(B19,'서비스 Master'!$C$4:$P$62,14,FALSE)</f>
        <v>민석홍</v>
      </c>
      <c r="D19" s="61" t="str">
        <f>VLOOKUP(B19,'서비스 Master'!$C$4:$P$62,10,FALSE)</f>
        <v>조래옥</v>
      </c>
      <c r="E19" s="61" t="str">
        <f>VLOOKUP(B19,'서비스 Master'!$C$4:$P$62,11,FALSE)</f>
        <v>구본호</v>
      </c>
      <c r="F19" s="2" t="s">
        <v>97</v>
      </c>
      <c r="G19" s="2" t="s">
        <v>457</v>
      </c>
      <c r="H19" s="2" t="s">
        <v>441</v>
      </c>
      <c r="I19" s="2"/>
      <c r="J19" s="2" t="s">
        <v>421</v>
      </c>
      <c r="K19" s="173"/>
      <c r="L19" s="173" t="s">
        <v>542</v>
      </c>
      <c r="M19" s="2" t="s">
        <v>551</v>
      </c>
      <c r="N19" s="2" t="s">
        <v>552</v>
      </c>
      <c r="O19" s="2">
        <v>443</v>
      </c>
      <c r="P19" s="155" t="s">
        <v>545</v>
      </c>
      <c r="Q19" s="153" t="s">
        <v>553</v>
      </c>
      <c r="R19" s="158" t="s">
        <v>448</v>
      </c>
      <c r="S19" s="2" t="s">
        <v>449</v>
      </c>
      <c r="T19" s="2" t="s">
        <v>450</v>
      </c>
      <c r="U19" s="2" t="s">
        <v>554</v>
      </c>
      <c r="V19" s="2" t="s">
        <v>555</v>
      </c>
      <c r="W19" s="2">
        <v>55432</v>
      </c>
      <c r="X19" s="2" t="s">
        <v>549</v>
      </c>
      <c r="Y19" s="2" t="s">
        <v>146</v>
      </c>
      <c r="Z19" s="2">
        <v>11.8</v>
      </c>
      <c r="AA19" s="2"/>
      <c r="AB19" s="62" t="s">
        <v>550</v>
      </c>
      <c r="AC19" s="2"/>
    </row>
    <row r="20" spans="1:29" ht="16.5">
      <c r="A20" s="61">
        <f>VLOOKUP(B20,'서비스 Master'!$C$4:$D$62,2,FALSE)</f>
        <v>11</v>
      </c>
      <c r="B20" s="2" t="s">
        <v>148</v>
      </c>
      <c r="C20" s="61" t="str">
        <f>VLOOKUP(B20,'서비스 Master'!$C$4:$P$62,14,FALSE)</f>
        <v>김햇빛</v>
      </c>
      <c r="D20" s="61" t="str">
        <f>VLOOKUP(B20,'서비스 Master'!$C$4:$P$62,10,FALSE)</f>
        <v>조래옥</v>
      </c>
      <c r="E20" s="61" t="str">
        <f>VLOOKUP(B20,'서비스 Master'!$C$4:$P$62,11,FALSE)</f>
        <v>김아현</v>
      </c>
      <c r="F20" s="2" t="s">
        <v>97</v>
      </c>
      <c r="G20" s="2" t="s">
        <v>440</v>
      </c>
      <c r="H20" s="2" t="s">
        <v>466</v>
      </c>
      <c r="I20" s="2"/>
      <c r="J20" s="2" t="s">
        <v>421</v>
      </c>
      <c r="K20" s="173"/>
      <c r="L20" s="173" t="s">
        <v>556</v>
      </c>
      <c r="M20" s="2" t="s">
        <v>557</v>
      </c>
      <c r="N20" s="2" t="s">
        <v>558</v>
      </c>
      <c r="O20" s="2">
        <v>80</v>
      </c>
      <c r="P20" s="95" t="s">
        <v>559</v>
      </c>
      <c r="Q20" s="153" t="s">
        <v>560</v>
      </c>
      <c r="R20" s="158"/>
      <c r="S20" s="2" t="s">
        <v>449</v>
      </c>
      <c r="T20" s="2" t="s">
        <v>498</v>
      </c>
      <c r="U20" s="2" t="s">
        <v>473</v>
      </c>
      <c r="V20" s="2" t="s">
        <v>474</v>
      </c>
      <c r="W20" s="2">
        <v>51433</v>
      </c>
      <c r="X20" s="2" t="s">
        <v>561</v>
      </c>
      <c r="Y20" s="2" t="s">
        <v>96</v>
      </c>
      <c r="Z20" s="2">
        <v>127.9</v>
      </c>
      <c r="AA20" s="2"/>
      <c r="AB20" s="62" t="s">
        <v>562</v>
      </c>
      <c r="AC20" s="2" t="s">
        <v>563</v>
      </c>
    </row>
    <row r="21" spans="1:29" ht="16.5">
      <c r="A21" s="61">
        <f>VLOOKUP(B21,'서비스 Master'!$C$4:$D$62,2,FALSE)</f>
        <v>11</v>
      </c>
      <c r="B21" s="2" t="s">
        <v>148</v>
      </c>
      <c r="C21" s="61" t="str">
        <f>VLOOKUP(B21,'서비스 Master'!$C$4:$P$62,14,FALSE)</f>
        <v>김햇빛</v>
      </c>
      <c r="D21" s="61" t="str">
        <f>VLOOKUP(B21,'서비스 Master'!$C$4:$P$62,10,FALSE)</f>
        <v>조래옥</v>
      </c>
      <c r="E21" s="61" t="str">
        <f>VLOOKUP(B21,'서비스 Master'!$C$4:$P$62,11,FALSE)</f>
        <v>김아현</v>
      </c>
      <c r="F21" s="2" t="s">
        <v>97</v>
      </c>
      <c r="G21" s="2" t="s">
        <v>457</v>
      </c>
      <c r="H21" s="2" t="s">
        <v>466</v>
      </c>
      <c r="I21" s="2"/>
      <c r="J21" s="2" t="s">
        <v>421</v>
      </c>
      <c r="K21" s="173"/>
      <c r="L21" s="173" t="s">
        <v>556</v>
      </c>
      <c r="M21" s="2" t="s">
        <v>564</v>
      </c>
      <c r="N21" s="213" t="s">
        <v>565</v>
      </c>
      <c r="O21" s="2">
        <v>80</v>
      </c>
      <c r="P21" s="95" t="s">
        <v>559</v>
      </c>
      <c r="Q21" s="153" t="s">
        <v>566</v>
      </c>
      <c r="R21" s="162"/>
      <c r="S21" s="2" t="s">
        <v>449</v>
      </c>
      <c r="T21" s="2" t="s">
        <v>498</v>
      </c>
      <c r="U21" s="2" t="s">
        <v>503</v>
      </c>
      <c r="V21" s="2" t="s">
        <v>490</v>
      </c>
      <c r="W21" s="2">
        <v>51433</v>
      </c>
      <c r="X21" s="2" t="s">
        <v>561</v>
      </c>
      <c r="Y21" s="2" t="s">
        <v>96</v>
      </c>
      <c r="Z21" s="2">
        <v>0.2</v>
      </c>
      <c r="AA21" s="2"/>
      <c r="AB21" s="62" t="s">
        <v>562</v>
      </c>
      <c r="AC21" s="2"/>
    </row>
    <row r="22" spans="1:29" ht="20.25" customHeight="1">
      <c r="A22" s="61">
        <f>VLOOKUP(B22,'서비스 Master'!$C$4:$D$62,2,FALSE)</f>
        <v>12</v>
      </c>
      <c r="B22" s="2" t="s">
        <v>567</v>
      </c>
      <c r="C22" s="61" t="str">
        <f>VLOOKUP(B22,'서비스 Master'!$C$4:$P$62,14,FALSE)</f>
        <v>김햇빛</v>
      </c>
      <c r="D22" s="61" t="str">
        <f>VLOOKUP(B22,'서비스 Master'!$C$4:$P$62,10,FALSE)</f>
        <v>조래옥</v>
      </c>
      <c r="E22" s="61" t="str">
        <f>VLOOKUP(B22,'서비스 Master'!$C$4:$P$62,11,FALSE)</f>
        <v>변영운</v>
      </c>
      <c r="F22" s="2" t="s">
        <v>97</v>
      </c>
      <c r="G22" s="2" t="s">
        <v>440</v>
      </c>
      <c r="H22" s="2" t="s">
        <v>466</v>
      </c>
      <c r="I22" s="2"/>
      <c r="J22" s="2" t="s">
        <v>421</v>
      </c>
      <c r="K22" s="173" t="s">
        <v>568</v>
      </c>
      <c r="L22" s="174" t="s">
        <v>569</v>
      </c>
      <c r="M22" s="2" t="s">
        <v>570</v>
      </c>
      <c r="N22" s="212" t="s">
        <v>571</v>
      </c>
      <c r="O22" s="2">
        <v>55522</v>
      </c>
      <c r="P22" s="155" t="s">
        <v>529</v>
      </c>
      <c r="Q22" s="153" t="s">
        <v>572</v>
      </c>
      <c r="R22" s="161"/>
      <c r="S22" s="2" t="s">
        <v>449</v>
      </c>
      <c r="T22" s="2" t="s">
        <v>498</v>
      </c>
      <c r="U22" s="2" t="s">
        <v>573</v>
      </c>
      <c r="V22" s="2" t="s">
        <v>574</v>
      </c>
      <c r="W22" s="2">
        <v>3306</v>
      </c>
      <c r="X22" s="2" t="s">
        <v>575</v>
      </c>
      <c r="Y22" s="2" t="s">
        <v>576</v>
      </c>
      <c r="Z22" s="2">
        <v>21</v>
      </c>
      <c r="AA22" s="2"/>
      <c r="AB22" s="62" t="s">
        <v>577</v>
      </c>
      <c r="AC22" s="2"/>
    </row>
    <row r="23" spans="1:29">
      <c r="A23" s="61">
        <f>VLOOKUP(B23,'서비스 Master'!$C$4:$D$62,2,FALSE)</f>
        <v>12</v>
      </c>
      <c r="B23" s="2" t="s">
        <v>567</v>
      </c>
      <c r="C23" s="61" t="str">
        <f>VLOOKUP(B23,'서비스 Master'!$C$4:$P$62,14,FALSE)</f>
        <v>김햇빛</v>
      </c>
      <c r="D23" s="61" t="str">
        <f>VLOOKUP(B23,'서비스 Master'!$C$4:$P$62,10,FALSE)</f>
        <v>조래옥</v>
      </c>
      <c r="E23" s="61" t="str">
        <f>VLOOKUP(B23,'서비스 Master'!$C$4:$P$62,11,FALSE)</f>
        <v>변영운</v>
      </c>
      <c r="F23" s="2" t="s">
        <v>97</v>
      </c>
      <c r="G23" s="2" t="s">
        <v>440</v>
      </c>
      <c r="H23" s="2" t="s">
        <v>466</v>
      </c>
      <c r="I23" s="2"/>
      <c r="J23" s="2" t="s">
        <v>421</v>
      </c>
      <c r="K23" s="173" t="s">
        <v>578</v>
      </c>
      <c r="L23" s="173" t="s">
        <v>579</v>
      </c>
      <c r="M23" s="2" t="s">
        <v>580</v>
      </c>
      <c r="N23" s="212" t="s">
        <v>581</v>
      </c>
      <c r="O23" s="2">
        <v>55522</v>
      </c>
      <c r="P23" s="155" t="s">
        <v>529</v>
      </c>
      <c r="Q23" s="153" t="s">
        <v>572</v>
      </c>
      <c r="R23" s="158"/>
      <c r="S23" s="2" t="s">
        <v>449</v>
      </c>
      <c r="T23" s="2" t="s">
        <v>498</v>
      </c>
      <c r="U23" s="2" t="s">
        <v>573</v>
      </c>
      <c r="V23" s="2" t="s">
        <v>574</v>
      </c>
      <c r="W23" s="2">
        <v>3306</v>
      </c>
      <c r="X23" s="2" t="s">
        <v>575</v>
      </c>
      <c r="Y23" s="2" t="s">
        <v>576</v>
      </c>
      <c r="Z23" s="2">
        <v>21</v>
      </c>
      <c r="AA23" s="2"/>
      <c r="AB23" s="62"/>
      <c r="AC23" s="2"/>
    </row>
    <row r="24" spans="1:29">
      <c r="A24" s="61">
        <f>VLOOKUP(B24,'서비스 Master'!$C$4:$D$62,2,FALSE)</f>
        <v>12</v>
      </c>
      <c r="B24" s="2" t="s">
        <v>567</v>
      </c>
      <c r="C24" s="61" t="str">
        <f>VLOOKUP(B24,'서비스 Master'!$C$4:$P$62,14,FALSE)</f>
        <v>김햇빛</v>
      </c>
      <c r="D24" s="61" t="str">
        <f>VLOOKUP(B24,'서비스 Master'!$C$4:$P$62,10,FALSE)</f>
        <v>조래옥</v>
      </c>
      <c r="E24" s="61" t="str">
        <f>VLOOKUP(B24,'서비스 Master'!$C$4:$P$62,11,FALSE)</f>
        <v>변영운</v>
      </c>
      <c r="F24" s="2" t="s">
        <v>97</v>
      </c>
      <c r="G24" s="2" t="s">
        <v>440</v>
      </c>
      <c r="H24" s="2" t="s">
        <v>466</v>
      </c>
      <c r="I24" s="2"/>
      <c r="J24" s="2" t="s">
        <v>421</v>
      </c>
      <c r="K24" s="173" t="s">
        <v>578</v>
      </c>
      <c r="L24" s="173" t="s">
        <v>579</v>
      </c>
      <c r="M24" s="2" t="s">
        <v>582</v>
      </c>
      <c r="N24" s="212" t="s">
        <v>583</v>
      </c>
      <c r="O24" s="2">
        <v>55522</v>
      </c>
      <c r="P24" s="155" t="s">
        <v>529</v>
      </c>
      <c r="Q24" s="129" t="s">
        <v>572</v>
      </c>
      <c r="R24" s="158"/>
      <c r="S24" s="2" t="s">
        <v>449</v>
      </c>
      <c r="T24" s="2" t="s">
        <v>498</v>
      </c>
      <c r="U24" s="2" t="s">
        <v>573</v>
      </c>
      <c r="V24" s="2" t="s">
        <v>574</v>
      </c>
      <c r="W24" s="2">
        <v>3306</v>
      </c>
      <c r="X24" s="2" t="s">
        <v>575</v>
      </c>
      <c r="Y24" s="2" t="s">
        <v>576</v>
      </c>
      <c r="Z24" s="2">
        <v>21</v>
      </c>
      <c r="AA24" s="2"/>
      <c r="AB24" s="62"/>
      <c r="AC24" s="2"/>
    </row>
    <row r="25" spans="1:29" ht="16.5">
      <c r="A25" s="61">
        <f>VLOOKUP(B25,'서비스 Master'!$C$4:$D$62,2,FALSE)</f>
        <v>12</v>
      </c>
      <c r="B25" s="2" t="s">
        <v>567</v>
      </c>
      <c r="C25" s="61" t="str">
        <f>VLOOKUP(B25,'서비스 Master'!$C$4:$P$62,14,FALSE)</f>
        <v>김햇빛</v>
      </c>
      <c r="D25" s="61" t="str">
        <f>VLOOKUP(B25,'서비스 Master'!$C$4:$P$62,10,FALSE)</f>
        <v>조래옥</v>
      </c>
      <c r="E25" s="61" t="str">
        <f>VLOOKUP(B25,'서비스 Master'!$C$4:$P$62,11,FALSE)</f>
        <v>변영운</v>
      </c>
      <c r="F25" s="2" t="s">
        <v>97</v>
      </c>
      <c r="G25" s="2" t="s">
        <v>485</v>
      </c>
      <c r="H25" s="2" t="s">
        <v>466</v>
      </c>
      <c r="I25" s="2"/>
      <c r="J25" s="2" t="s">
        <v>421</v>
      </c>
      <c r="K25" s="173"/>
      <c r="L25" s="174" t="s">
        <v>584</v>
      </c>
      <c r="M25" s="2" t="s">
        <v>585</v>
      </c>
      <c r="N25" s="212" t="s">
        <v>586</v>
      </c>
      <c r="O25" s="2">
        <v>55522</v>
      </c>
      <c r="P25" s="155" t="s">
        <v>529</v>
      </c>
      <c r="Q25" s="153" t="s">
        <v>587</v>
      </c>
      <c r="R25" s="161"/>
      <c r="S25" s="2" t="s">
        <v>449</v>
      </c>
      <c r="T25" s="2" t="s">
        <v>498</v>
      </c>
      <c r="U25" s="2" t="s">
        <v>588</v>
      </c>
      <c r="V25" s="2" t="s">
        <v>589</v>
      </c>
      <c r="W25" s="2">
        <v>3306</v>
      </c>
      <c r="X25" s="2" t="s">
        <v>575</v>
      </c>
      <c r="Y25" s="2" t="s">
        <v>576</v>
      </c>
      <c r="Z25" s="2">
        <v>33.700000000000003</v>
      </c>
      <c r="AA25" s="2"/>
      <c r="AB25" s="62"/>
      <c r="AC25" s="2"/>
    </row>
    <row r="26" spans="1:29">
      <c r="A26" s="61">
        <f>VLOOKUP(B26,'서비스 Master'!$C$4:$D$62,2,FALSE)</f>
        <v>13</v>
      </c>
      <c r="B26" s="2" t="s">
        <v>163</v>
      </c>
      <c r="C26" s="61" t="str">
        <f>VLOOKUP(B26,'서비스 Master'!$C$4:$P$62,14,FALSE)</f>
        <v>김햇빛</v>
      </c>
      <c r="D26" s="61" t="str">
        <f>VLOOKUP(B26,'서비스 Master'!$C$4:$P$62,10,FALSE)</f>
        <v>조래옥</v>
      </c>
      <c r="E26" s="61" t="str">
        <f>VLOOKUP(B26,'서비스 Master'!$C$4:$P$62,11,FALSE)</f>
        <v>한준호</v>
      </c>
      <c r="F26" s="2" t="s">
        <v>97</v>
      </c>
      <c r="G26" s="2" t="s">
        <v>440</v>
      </c>
      <c r="H26" s="2" t="s">
        <v>466</v>
      </c>
      <c r="I26" s="2"/>
      <c r="J26" s="2" t="s">
        <v>421</v>
      </c>
      <c r="K26" s="173"/>
      <c r="L26" s="173" t="s">
        <v>590</v>
      </c>
      <c r="M26" s="2" t="s">
        <v>591</v>
      </c>
      <c r="N26" s="212" t="s">
        <v>592</v>
      </c>
      <c r="O26" s="2" t="s">
        <v>593</v>
      </c>
      <c r="P26" s="155" t="s">
        <v>529</v>
      </c>
      <c r="Q26" s="153" t="s">
        <v>594</v>
      </c>
      <c r="R26" s="158"/>
      <c r="S26" s="2" t="s">
        <v>449</v>
      </c>
      <c r="T26" s="2" t="s">
        <v>498</v>
      </c>
      <c r="U26" s="2" t="s">
        <v>473</v>
      </c>
      <c r="V26" s="2" t="s">
        <v>595</v>
      </c>
      <c r="W26" s="2">
        <v>51433</v>
      </c>
      <c r="X26" s="2" t="s">
        <v>596</v>
      </c>
      <c r="Y26" s="2" t="s">
        <v>96</v>
      </c>
      <c r="Z26" s="2">
        <v>1.4</v>
      </c>
      <c r="AA26" s="2"/>
      <c r="AB26" s="62" t="s">
        <v>562</v>
      </c>
      <c r="AC26" s="2"/>
    </row>
    <row r="27" spans="1:29">
      <c r="A27" s="61">
        <f>VLOOKUP(B27,'서비스 Master'!$C$4:$D$62,2,FALSE)</f>
        <v>13</v>
      </c>
      <c r="B27" s="2" t="s">
        <v>163</v>
      </c>
      <c r="C27" s="61" t="str">
        <f>VLOOKUP(B27,'서비스 Master'!$C$4:$P$62,14,FALSE)</f>
        <v>김햇빛</v>
      </c>
      <c r="D27" s="61" t="str">
        <f>VLOOKUP(B27,'서비스 Master'!$C$4:$P$62,10,FALSE)</f>
        <v>조래옥</v>
      </c>
      <c r="E27" s="61" t="str">
        <f>VLOOKUP(B27,'서비스 Master'!$C$4:$P$62,11,FALSE)</f>
        <v>한준호</v>
      </c>
      <c r="F27" s="2" t="s">
        <v>97</v>
      </c>
      <c r="G27" s="2" t="s">
        <v>440</v>
      </c>
      <c r="H27" s="2" t="s">
        <v>466</v>
      </c>
      <c r="I27" s="2"/>
      <c r="J27" s="2" t="s">
        <v>421</v>
      </c>
      <c r="K27" s="173"/>
      <c r="L27" s="173" t="s">
        <v>590</v>
      </c>
      <c r="M27" s="2" t="s">
        <v>597</v>
      </c>
      <c r="N27" s="212" t="s">
        <v>598</v>
      </c>
      <c r="O27" s="2" t="s">
        <v>599</v>
      </c>
      <c r="P27" s="155" t="s">
        <v>529</v>
      </c>
      <c r="Q27" s="129" t="s">
        <v>594</v>
      </c>
      <c r="R27" s="158"/>
      <c r="S27" s="2" t="s">
        <v>449</v>
      </c>
      <c r="T27" s="2" t="s">
        <v>498</v>
      </c>
      <c r="U27" s="2" t="s">
        <v>473</v>
      </c>
      <c r="V27" s="2" t="s">
        <v>595</v>
      </c>
      <c r="W27" s="2">
        <v>51433</v>
      </c>
      <c r="X27" s="2" t="s">
        <v>596</v>
      </c>
      <c r="Y27" s="2" t="s">
        <v>96</v>
      </c>
      <c r="Z27" s="2">
        <v>1.4</v>
      </c>
      <c r="AA27" s="2"/>
      <c r="AB27" s="62" t="s">
        <v>562</v>
      </c>
      <c r="AC27" s="2"/>
    </row>
    <row r="28" spans="1:29">
      <c r="A28" s="61">
        <f>VLOOKUP(B28,'서비스 Master'!$C$4:$D$62,2,FALSE)</f>
        <v>13</v>
      </c>
      <c r="B28" s="2" t="s">
        <v>163</v>
      </c>
      <c r="C28" s="61" t="str">
        <f>VLOOKUP(B28,'서비스 Master'!$C$4:$P$62,14,FALSE)</f>
        <v>김햇빛</v>
      </c>
      <c r="D28" s="61" t="str">
        <f>VLOOKUP(B28,'서비스 Master'!$C$4:$P$62,10,FALSE)</f>
        <v>조래옥</v>
      </c>
      <c r="E28" s="61" t="str">
        <f>VLOOKUP(B28,'서비스 Master'!$C$4:$P$62,11,FALSE)</f>
        <v>한준호</v>
      </c>
      <c r="F28" s="2" t="s">
        <v>97</v>
      </c>
      <c r="G28" s="2" t="s">
        <v>457</v>
      </c>
      <c r="H28" s="2" t="s">
        <v>466</v>
      </c>
      <c r="I28" s="2"/>
      <c r="J28" s="2" t="s">
        <v>421</v>
      </c>
      <c r="K28" s="173"/>
      <c r="L28" s="173" t="s">
        <v>590</v>
      </c>
      <c r="M28" s="2" t="s">
        <v>600</v>
      </c>
      <c r="N28" s="212" t="s">
        <v>601</v>
      </c>
      <c r="O28" s="2" t="s">
        <v>593</v>
      </c>
      <c r="P28" s="155" t="s">
        <v>529</v>
      </c>
      <c r="Q28" s="153" t="s">
        <v>602</v>
      </c>
      <c r="R28" s="159"/>
      <c r="S28" s="2" t="s">
        <v>449</v>
      </c>
      <c r="T28" s="2" t="s">
        <v>498</v>
      </c>
      <c r="U28" s="2" t="s">
        <v>503</v>
      </c>
      <c r="V28" s="2" t="s">
        <v>490</v>
      </c>
      <c r="W28" s="2">
        <v>51433</v>
      </c>
      <c r="X28" s="2" t="s">
        <v>596</v>
      </c>
      <c r="Y28" s="2" t="s">
        <v>96</v>
      </c>
      <c r="Z28" s="2">
        <v>0.5</v>
      </c>
      <c r="AA28" s="2"/>
      <c r="AB28" s="62" t="s">
        <v>562</v>
      </c>
      <c r="AC28" s="2"/>
    </row>
    <row r="29" spans="1:29">
      <c r="A29" s="61">
        <f>VLOOKUP(B29,'서비스 Master'!$C$4:$D$62,2,FALSE)</f>
        <v>14</v>
      </c>
      <c r="B29" s="2" t="s">
        <v>171</v>
      </c>
      <c r="C29" s="61" t="str">
        <f>VLOOKUP(B29,'서비스 Master'!$C$4:$P$62,14,FALSE)</f>
        <v>김햇빛</v>
      </c>
      <c r="D29" s="61" t="str">
        <f>VLOOKUP(B29,'서비스 Master'!$C$4:$P$62,10,FALSE)</f>
        <v>조래옥</v>
      </c>
      <c r="E29" s="61" t="str">
        <f>VLOOKUP(B29,'서비스 Master'!$C$4:$P$62,11,FALSE)</f>
        <v>정상률</v>
      </c>
      <c r="F29" s="66" t="s">
        <v>97</v>
      </c>
      <c r="G29" s="2"/>
      <c r="H29" s="2"/>
      <c r="I29" s="2"/>
      <c r="J29" s="66" t="s">
        <v>479</v>
      </c>
      <c r="K29" s="173"/>
      <c r="L29" s="173"/>
      <c r="M29" s="2"/>
      <c r="N29" s="2"/>
      <c r="O29" s="2"/>
      <c r="P29" s="155"/>
      <c r="Q29" s="149"/>
      <c r="R29" s="159"/>
      <c r="S29" s="2"/>
      <c r="T29" s="2" t="s">
        <v>509</v>
      </c>
      <c r="U29" s="2"/>
      <c r="V29" s="2"/>
      <c r="W29" s="2"/>
      <c r="X29" s="2"/>
      <c r="Y29" s="2"/>
      <c r="Z29" s="2"/>
      <c r="AA29" s="2"/>
      <c r="AB29" s="62"/>
      <c r="AC29" s="2"/>
    </row>
    <row r="30" spans="1:29" ht="16.5">
      <c r="A30" s="61">
        <f>VLOOKUP(B30,'서비스 Master'!$C$4:$D$62,2,FALSE)</f>
        <v>15</v>
      </c>
      <c r="B30" s="2" t="s">
        <v>179</v>
      </c>
      <c r="C30" s="61" t="str">
        <f>VLOOKUP(B30,'서비스 Master'!$C$4:$P$62,14,FALSE)</f>
        <v>김햇빛</v>
      </c>
      <c r="D30" s="61" t="str">
        <f>VLOOKUP(B30,'서비스 Master'!$C$4:$P$62,10,FALSE)</f>
        <v>이인</v>
      </c>
      <c r="E30" s="61" t="str">
        <f>VLOOKUP(B30,'서비스 Master'!$C$4:$P$62,11,FALSE)</f>
        <v>박도현</v>
      </c>
      <c r="F30" s="2" t="s">
        <v>97</v>
      </c>
      <c r="G30" s="2" t="s">
        <v>440</v>
      </c>
      <c r="H30" s="2" t="s">
        <v>466</v>
      </c>
      <c r="I30" s="2"/>
      <c r="J30" s="2" t="s">
        <v>421</v>
      </c>
      <c r="K30" s="173" t="s">
        <v>459</v>
      </c>
      <c r="L30" s="173"/>
      <c r="M30" s="2" t="s">
        <v>603</v>
      </c>
      <c r="N30" s="212" t="s">
        <v>604</v>
      </c>
      <c r="O30" s="2">
        <v>443</v>
      </c>
      <c r="P30" s="155" t="s">
        <v>470</v>
      </c>
      <c r="Q30" s="153" t="s">
        <v>605</v>
      </c>
      <c r="R30" s="158"/>
      <c r="S30" s="2" t="s">
        <v>449</v>
      </c>
      <c r="T30" s="2" t="s">
        <v>509</v>
      </c>
      <c r="U30" s="2" t="s">
        <v>473</v>
      </c>
      <c r="V30" s="2" t="s">
        <v>474</v>
      </c>
      <c r="W30" s="2">
        <v>51433</v>
      </c>
      <c r="X30" s="2" t="s">
        <v>606</v>
      </c>
      <c r="Y30" s="2" t="s">
        <v>96</v>
      </c>
      <c r="Z30" s="2">
        <v>7.4</v>
      </c>
      <c r="AA30" s="2"/>
      <c r="AB30" s="62" t="s">
        <v>499</v>
      </c>
      <c r="AC30" s="63" t="s">
        <v>607</v>
      </c>
    </row>
    <row r="31" spans="1:29">
      <c r="A31" s="61">
        <f>VLOOKUP(B31,'서비스 Master'!$C$4:$D$62,2,FALSE)</f>
        <v>15</v>
      </c>
      <c r="B31" s="2" t="s">
        <v>179</v>
      </c>
      <c r="C31" s="61" t="str">
        <f>VLOOKUP(B31,'서비스 Master'!$C$4:$P$62,14,FALSE)</f>
        <v>김햇빛</v>
      </c>
      <c r="D31" s="61" t="str">
        <f>VLOOKUP(B31,'서비스 Master'!$C$4:$P$62,10,FALSE)</f>
        <v>이인</v>
      </c>
      <c r="E31" s="61" t="str">
        <f>VLOOKUP(B31,'서비스 Master'!$C$4:$P$62,11,FALSE)</f>
        <v>박도현</v>
      </c>
      <c r="F31" s="2" t="s">
        <v>97</v>
      </c>
      <c r="G31" s="2" t="s">
        <v>457</v>
      </c>
      <c r="H31" s="2" t="s">
        <v>466</v>
      </c>
      <c r="I31" s="2"/>
      <c r="J31" s="2" t="s">
        <v>421</v>
      </c>
      <c r="K31" s="173" t="s">
        <v>459</v>
      </c>
      <c r="L31" s="173"/>
      <c r="M31" s="2" t="s">
        <v>608</v>
      </c>
      <c r="N31" s="212" t="s">
        <v>609</v>
      </c>
      <c r="O31" s="2">
        <v>443</v>
      </c>
      <c r="P31" s="155" t="s">
        <v>470</v>
      </c>
      <c r="Q31" s="153" t="s">
        <v>610</v>
      </c>
      <c r="R31" s="158"/>
      <c r="S31" s="2" t="s">
        <v>449</v>
      </c>
      <c r="T31" s="2" t="s">
        <v>509</v>
      </c>
      <c r="U31" s="2" t="s">
        <v>503</v>
      </c>
      <c r="V31" s="2" t="s">
        <v>490</v>
      </c>
      <c r="W31" s="2">
        <v>51433</v>
      </c>
      <c r="X31" s="2" t="s">
        <v>606</v>
      </c>
      <c r="Y31" s="2" t="s">
        <v>96</v>
      </c>
      <c r="Z31" s="2">
        <v>5.6</v>
      </c>
      <c r="AA31" s="2"/>
      <c r="AB31" s="62" t="s">
        <v>611</v>
      </c>
      <c r="AC31" s="63" t="s">
        <v>607</v>
      </c>
    </row>
    <row r="32" spans="1:29" ht="16.5">
      <c r="A32" s="61">
        <f>VLOOKUP(B32,'서비스 Master'!$C$4:$D$62,2,FALSE)</f>
        <v>16</v>
      </c>
      <c r="B32" s="2" t="s">
        <v>612</v>
      </c>
      <c r="C32" s="61" t="str">
        <f>VLOOKUP(B32,'서비스 Master'!$C$4:$P$62,14,FALSE)</f>
        <v>박상진</v>
      </c>
      <c r="D32" s="61" t="str">
        <f>VLOOKUP(B32,'서비스 Master'!$C$4:$P$62,10,FALSE)</f>
        <v>이인</v>
      </c>
      <c r="E32" s="61" t="str">
        <f>VLOOKUP(B32,'서비스 Master'!$C$4:$P$62,11,FALSE)</f>
        <v>김기정</v>
      </c>
      <c r="F32" s="2" t="s">
        <v>97</v>
      </c>
      <c r="G32" s="2" t="s">
        <v>440</v>
      </c>
      <c r="H32" s="2" t="s">
        <v>441</v>
      </c>
      <c r="I32" s="2" t="s">
        <v>442</v>
      </c>
      <c r="J32" s="2" t="s">
        <v>421</v>
      </c>
      <c r="K32" s="173" t="s">
        <v>459</v>
      </c>
      <c r="L32" s="173"/>
      <c r="M32" s="2" t="s">
        <v>613</v>
      </c>
      <c r="N32" s="2" t="s">
        <v>614</v>
      </c>
      <c r="O32" s="2">
        <v>443</v>
      </c>
      <c r="P32" s="155" t="s">
        <v>446</v>
      </c>
      <c r="Q32" s="222" t="s">
        <v>615</v>
      </c>
      <c r="R32" s="158" t="s">
        <v>616</v>
      </c>
      <c r="S32" s="2" t="s">
        <v>449</v>
      </c>
      <c r="T32" s="2" t="s">
        <v>450</v>
      </c>
      <c r="U32" s="2"/>
      <c r="V32" s="2"/>
      <c r="W32" s="2"/>
      <c r="X32" s="2"/>
      <c r="Y32" s="2"/>
      <c r="Z32" s="2"/>
      <c r="AA32" s="2"/>
      <c r="AB32" s="62" t="s">
        <v>617</v>
      </c>
      <c r="AC32" s="2"/>
    </row>
    <row r="33" spans="1:31">
      <c r="A33" s="61">
        <f>VLOOKUP(B33,'서비스 Master'!$C$4:$D$62,2,FALSE)</f>
        <v>16</v>
      </c>
      <c r="B33" s="2" t="s">
        <v>612</v>
      </c>
      <c r="C33" s="61" t="str">
        <f>VLOOKUP(B33,'서비스 Master'!$C$4:$P$62,14,FALSE)</f>
        <v>박상진</v>
      </c>
      <c r="D33" s="61" t="str">
        <f>VLOOKUP(B33,'서비스 Master'!$C$4:$P$62,10,FALSE)</f>
        <v>이인</v>
      </c>
      <c r="E33" s="61" t="str">
        <f>VLOOKUP(B33,'서비스 Master'!$C$4:$P$62,11,FALSE)</f>
        <v>김기정</v>
      </c>
      <c r="F33" s="2" t="s">
        <v>97</v>
      </c>
      <c r="G33" s="2" t="s">
        <v>457</v>
      </c>
      <c r="H33" s="2" t="s">
        <v>441</v>
      </c>
      <c r="I33" s="2" t="s">
        <v>458</v>
      </c>
      <c r="J33" s="2" t="s">
        <v>421</v>
      </c>
      <c r="K33" s="173" t="s">
        <v>459</v>
      </c>
      <c r="L33" s="173"/>
      <c r="M33" s="2" t="s">
        <v>618</v>
      </c>
      <c r="N33" s="2" t="s">
        <v>619</v>
      </c>
      <c r="O33" s="2">
        <v>443</v>
      </c>
      <c r="P33" s="155" t="s">
        <v>446</v>
      </c>
      <c r="Q33" s="153" t="s">
        <v>620</v>
      </c>
      <c r="R33" s="158" t="s">
        <v>616</v>
      </c>
      <c r="S33" s="2" t="s">
        <v>449</v>
      </c>
      <c r="T33" s="2" t="s">
        <v>450</v>
      </c>
      <c r="U33" s="64"/>
      <c r="V33" s="64"/>
      <c r="W33" s="2"/>
      <c r="X33" s="2"/>
      <c r="Y33" s="2"/>
      <c r="Z33" s="2"/>
      <c r="AA33" s="2"/>
      <c r="AB33" s="62" t="s">
        <v>621</v>
      </c>
      <c r="AC33" s="2"/>
    </row>
    <row r="34" spans="1:31" ht="16.5">
      <c r="A34" s="61">
        <f>VLOOKUP(B34,'서비스 Master'!$C$4:$D$62,2,FALSE)</f>
        <v>17</v>
      </c>
      <c r="B34" s="2" t="s">
        <v>188</v>
      </c>
      <c r="C34" s="61" t="str">
        <f>VLOOKUP(B34,'서비스 Master'!$C$4:$P$62,14,FALSE)</f>
        <v>박상진</v>
      </c>
      <c r="D34" s="61" t="str">
        <f>VLOOKUP(B34,'서비스 Master'!$C$4:$P$62,10,FALSE)</f>
        <v>이인</v>
      </c>
      <c r="E34" s="61" t="str">
        <f>VLOOKUP(B34,'서비스 Master'!$C$4:$P$62,11,FALSE)</f>
        <v>김형일</v>
      </c>
      <c r="F34" s="2" t="s">
        <v>97</v>
      </c>
      <c r="G34" s="2" t="s">
        <v>440</v>
      </c>
      <c r="H34" s="2" t="s">
        <v>441</v>
      </c>
      <c r="I34" s="2" t="s">
        <v>458</v>
      </c>
      <c r="J34" s="2" t="s">
        <v>421</v>
      </c>
      <c r="K34" s="173"/>
      <c r="L34" s="173" t="s">
        <v>622</v>
      </c>
      <c r="M34" s="2" t="s">
        <v>623</v>
      </c>
      <c r="N34" s="2" t="s">
        <v>624</v>
      </c>
      <c r="O34" s="2">
        <v>53389</v>
      </c>
      <c r="P34" s="155" t="s">
        <v>446</v>
      </c>
      <c r="Q34" s="153" t="s">
        <v>625</v>
      </c>
      <c r="R34" s="158" t="s">
        <v>616</v>
      </c>
      <c r="S34" s="2" t="s">
        <v>449</v>
      </c>
      <c r="T34" s="2" t="s">
        <v>472</v>
      </c>
      <c r="U34" s="2" t="s">
        <v>626</v>
      </c>
      <c r="V34" s="2" t="s">
        <v>627</v>
      </c>
      <c r="W34" s="2">
        <v>51433</v>
      </c>
      <c r="X34" s="2" t="s">
        <v>628</v>
      </c>
      <c r="Y34" s="2" t="s">
        <v>96</v>
      </c>
      <c r="Z34" s="2">
        <v>0.3</v>
      </c>
      <c r="AA34" s="2"/>
      <c r="AB34" s="2" t="s">
        <v>629</v>
      </c>
      <c r="AC34" s="2"/>
    </row>
    <row r="35" spans="1:31">
      <c r="A35" s="61">
        <f>VLOOKUP(B35,'서비스 Master'!$C$4:$D$62,2,FALSE)</f>
        <v>17</v>
      </c>
      <c r="B35" s="2" t="s">
        <v>188</v>
      </c>
      <c r="C35" s="61" t="str">
        <f>VLOOKUP(B35,'서비스 Master'!$C$4:$P$62,14,FALSE)</f>
        <v>박상진</v>
      </c>
      <c r="D35" s="61" t="str">
        <f>VLOOKUP(B35,'서비스 Master'!$C$4:$P$62,10,FALSE)</f>
        <v>이인</v>
      </c>
      <c r="E35" s="61" t="str">
        <f>VLOOKUP(B35,'서비스 Master'!$C$4:$P$62,11,FALSE)</f>
        <v>김형일</v>
      </c>
      <c r="F35" s="2" t="s">
        <v>97</v>
      </c>
      <c r="G35" s="2" t="s">
        <v>457</v>
      </c>
      <c r="H35" s="2" t="s">
        <v>441</v>
      </c>
      <c r="I35" s="2" t="s">
        <v>458</v>
      </c>
      <c r="J35" s="2" t="s">
        <v>421</v>
      </c>
      <c r="K35" s="173"/>
      <c r="L35" s="173" t="s">
        <v>622</v>
      </c>
      <c r="M35" s="2" t="s">
        <v>630</v>
      </c>
      <c r="N35" s="2" t="s">
        <v>631</v>
      </c>
      <c r="O35" s="2">
        <v>443</v>
      </c>
      <c r="P35" s="155" t="s">
        <v>446</v>
      </c>
      <c r="Q35" s="153" t="s">
        <v>632</v>
      </c>
      <c r="R35" s="158" t="s">
        <v>616</v>
      </c>
      <c r="S35" s="2" t="s">
        <v>449</v>
      </c>
      <c r="T35" s="2" t="s">
        <v>472</v>
      </c>
      <c r="U35" s="2" t="s">
        <v>633</v>
      </c>
      <c r="V35" s="2" t="s">
        <v>634</v>
      </c>
      <c r="W35" s="2">
        <v>51433</v>
      </c>
      <c r="X35" s="2" t="s">
        <v>628</v>
      </c>
      <c r="Y35" s="2" t="s">
        <v>96</v>
      </c>
      <c r="Z35" s="2">
        <v>0.1</v>
      </c>
      <c r="AA35" s="2"/>
      <c r="AB35" s="2" t="s">
        <v>629</v>
      </c>
      <c r="AC35" s="2"/>
    </row>
    <row r="36" spans="1:31" s="60" customFormat="1">
      <c r="A36" s="59">
        <f>VLOOKUP(B36,'서비스 Master'!$C$4:$D$62,2,FALSE)</f>
        <v>18</v>
      </c>
      <c r="B36" s="53" t="s">
        <v>635</v>
      </c>
      <c r="C36" s="59" t="str">
        <f>VLOOKUP(B36,'서비스 Master'!$C$4:$P$62,14,FALSE)</f>
        <v>박상진</v>
      </c>
      <c r="D36" s="59" t="str">
        <f>VLOOKUP(B36,'서비스 Master'!$C$4:$P$62,10,FALSE)</f>
        <v>이인</v>
      </c>
      <c r="E36" s="59" t="str">
        <f>VLOOKUP(B36,'서비스 Master'!$C$4:$P$62,11,FALSE)</f>
        <v>김형일</v>
      </c>
      <c r="F36" s="53" t="s">
        <v>636</v>
      </c>
      <c r="G36" s="53" t="s">
        <v>440</v>
      </c>
      <c r="H36" s="53" t="s">
        <v>441</v>
      </c>
      <c r="I36" s="53" t="s">
        <v>442</v>
      </c>
      <c r="J36" s="53"/>
      <c r="K36" s="175"/>
      <c r="L36" s="175" t="s">
        <v>637</v>
      </c>
      <c r="M36" s="53" t="s">
        <v>638</v>
      </c>
      <c r="N36" s="53" t="s">
        <v>639</v>
      </c>
      <c r="O36" s="53">
        <v>3389</v>
      </c>
      <c r="P36" s="157" t="s">
        <v>640</v>
      </c>
      <c r="Q36" s="153" t="s">
        <v>641</v>
      </c>
      <c r="R36" s="158"/>
      <c r="S36" s="53"/>
      <c r="T36" s="53"/>
      <c r="U36" s="53"/>
      <c r="V36" s="53"/>
      <c r="W36" s="53"/>
      <c r="X36" s="53"/>
      <c r="Y36" s="53"/>
      <c r="Z36" s="53"/>
      <c r="AA36" s="53"/>
      <c r="AB36" s="53" t="s">
        <v>642</v>
      </c>
      <c r="AC36" s="53"/>
    </row>
    <row r="37" spans="1:31" s="67" customFormat="1">
      <c r="A37" s="65">
        <f>VLOOKUP(B37,'서비스 Master'!$C$4:$D$62,2,FALSE)</f>
        <v>18</v>
      </c>
      <c r="B37" s="66" t="s">
        <v>635</v>
      </c>
      <c r="C37" s="65" t="str">
        <f>VLOOKUP(B37,'서비스 Master'!$C$4:$P$62,14,FALSE)</f>
        <v>박상진</v>
      </c>
      <c r="D37" s="65" t="str">
        <f>VLOOKUP(B37,'서비스 Master'!$C$4:$P$62,10,FALSE)</f>
        <v>이인</v>
      </c>
      <c r="E37" s="65" t="str">
        <f>VLOOKUP(B37,'서비스 Master'!$C$4:$P$62,11,FALSE)</f>
        <v>김형일</v>
      </c>
      <c r="F37" s="66" t="s">
        <v>97</v>
      </c>
      <c r="G37" s="66" t="s">
        <v>440</v>
      </c>
      <c r="H37" s="66" t="s">
        <v>466</v>
      </c>
      <c r="I37" s="66"/>
      <c r="J37" s="66" t="s">
        <v>421</v>
      </c>
      <c r="K37" s="176"/>
      <c r="L37" s="176" t="s">
        <v>643</v>
      </c>
      <c r="M37" s="66" t="s">
        <v>644</v>
      </c>
      <c r="N37" s="214" t="s">
        <v>645</v>
      </c>
      <c r="O37" s="66">
        <v>53389</v>
      </c>
      <c r="P37" s="95" t="s">
        <v>646</v>
      </c>
      <c r="Q37" s="153" t="s">
        <v>641</v>
      </c>
      <c r="R37" s="158"/>
      <c r="S37" s="66" t="s">
        <v>449</v>
      </c>
      <c r="T37" s="66" t="s">
        <v>472</v>
      </c>
      <c r="U37" s="66"/>
      <c r="V37" s="66"/>
      <c r="W37" s="66"/>
      <c r="X37" s="66"/>
      <c r="Y37" s="66"/>
      <c r="Z37" s="66"/>
      <c r="AA37" s="66"/>
      <c r="AB37" s="66" t="s">
        <v>647</v>
      </c>
      <c r="AC37" s="66"/>
    </row>
    <row r="38" spans="1:31" s="67" customFormat="1" ht="16.5">
      <c r="A38" s="65">
        <f>VLOOKUP(B38,'서비스 Master'!$C$4:$D$62,2,FALSE)</f>
        <v>18</v>
      </c>
      <c r="B38" s="66" t="s">
        <v>635</v>
      </c>
      <c r="C38" s="65" t="str">
        <f>VLOOKUP(B38,'서비스 Master'!$C$4:$P$62,14,FALSE)</f>
        <v>박상진</v>
      </c>
      <c r="D38" s="65" t="str">
        <f>VLOOKUP(B38,'서비스 Master'!$C$4:$P$62,10,FALSE)</f>
        <v>이인</v>
      </c>
      <c r="E38" s="65" t="str">
        <f>VLOOKUP(B38,'서비스 Master'!$C$4:$P$62,11,FALSE)</f>
        <v>김형일</v>
      </c>
      <c r="F38" s="66" t="s">
        <v>97</v>
      </c>
      <c r="G38" s="66" t="s">
        <v>457</v>
      </c>
      <c r="H38" s="66" t="s">
        <v>466</v>
      </c>
      <c r="I38" s="66"/>
      <c r="J38" s="66" t="s">
        <v>421</v>
      </c>
      <c r="K38" s="176"/>
      <c r="L38" s="176" t="s">
        <v>648</v>
      </c>
      <c r="M38" s="66" t="s">
        <v>649</v>
      </c>
      <c r="N38" s="214" t="s">
        <v>650</v>
      </c>
      <c r="O38" s="66">
        <v>53389</v>
      </c>
      <c r="P38" s="95" t="s">
        <v>646</v>
      </c>
      <c r="Q38" s="222" t="s">
        <v>651</v>
      </c>
      <c r="R38" s="123"/>
      <c r="S38" s="66" t="s">
        <v>449</v>
      </c>
      <c r="T38" s="66" t="s">
        <v>472</v>
      </c>
      <c r="U38" s="66"/>
      <c r="V38" s="66"/>
      <c r="W38" s="66"/>
      <c r="X38" s="66"/>
      <c r="Y38" s="66"/>
      <c r="Z38" s="66"/>
      <c r="AA38" s="66"/>
      <c r="AB38" s="66" t="s">
        <v>647</v>
      </c>
      <c r="AC38" s="66"/>
    </row>
    <row r="39" spans="1:31" s="67" customFormat="1" ht="16.5">
      <c r="A39" s="65">
        <f>VLOOKUP(B39,'서비스 Master'!$C$4:$D$62,2,FALSE)</f>
        <v>19</v>
      </c>
      <c r="B39" s="66" t="s">
        <v>203</v>
      </c>
      <c r="C39" s="65" t="str">
        <f>VLOOKUP(B39,'서비스 Master'!$C$4:$P$62,14,FALSE)</f>
        <v>박상진</v>
      </c>
      <c r="D39" s="65" t="str">
        <f>VLOOKUP(B39,'서비스 Master'!$C$4:$P$62,10,FALSE)</f>
        <v>이인</v>
      </c>
      <c r="E39" s="65" t="str">
        <f>VLOOKUP(B39,'서비스 Master'!$C$4:$P$62,11,FALSE)</f>
        <v>김형일</v>
      </c>
      <c r="F39" s="66" t="s">
        <v>97</v>
      </c>
      <c r="G39" s="66" t="s">
        <v>440</v>
      </c>
      <c r="H39" s="66" t="s">
        <v>441</v>
      </c>
      <c r="I39" s="66" t="s">
        <v>458</v>
      </c>
      <c r="J39" s="66" t="s">
        <v>479</v>
      </c>
      <c r="K39" s="176"/>
      <c r="L39" s="174" t="s">
        <v>652</v>
      </c>
      <c r="M39" s="66" t="s">
        <v>653</v>
      </c>
      <c r="N39" s="66" t="s">
        <v>654</v>
      </c>
      <c r="O39" s="66">
        <v>53389</v>
      </c>
      <c r="P39" s="95" t="s">
        <v>446</v>
      </c>
      <c r="Q39" s="222" t="s">
        <v>655</v>
      </c>
      <c r="R39" s="158" t="s">
        <v>616</v>
      </c>
      <c r="S39" s="66" t="s">
        <v>449</v>
      </c>
      <c r="T39" s="66" t="s">
        <v>472</v>
      </c>
      <c r="U39" s="66"/>
      <c r="V39" s="66"/>
      <c r="W39" s="66"/>
      <c r="X39" s="66"/>
      <c r="Y39" s="66"/>
      <c r="Z39" s="66"/>
      <c r="AA39" s="66"/>
      <c r="AB39" s="66" t="s">
        <v>656</v>
      </c>
      <c r="AC39" s="66"/>
    </row>
    <row r="40" spans="1:31" s="67" customFormat="1" ht="16.5">
      <c r="A40" s="65">
        <f>VLOOKUP(B40,'서비스 Master'!$C$4:$D$62,2,FALSE)</f>
        <v>19</v>
      </c>
      <c r="B40" s="66" t="s">
        <v>203</v>
      </c>
      <c r="C40" s="65" t="str">
        <f>VLOOKUP(B40,'서비스 Master'!$C$4:$P$62,14,FALSE)</f>
        <v>박상진</v>
      </c>
      <c r="D40" s="65" t="str">
        <f>VLOOKUP(B40,'서비스 Master'!$C$4:$P$62,10,FALSE)</f>
        <v>이인</v>
      </c>
      <c r="E40" s="65" t="str">
        <f>VLOOKUP(B40,'서비스 Master'!$C$4:$P$62,11,FALSE)</f>
        <v>김형일</v>
      </c>
      <c r="F40" s="66" t="s">
        <v>97</v>
      </c>
      <c r="G40" s="66" t="s">
        <v>457</v>
      </c>
      <c r="H40" s="66" t="s">
        <v>441</v>
      </c>
      <c r="I40" s="66" t="s">
        <v>458</v>
      </c>
      <c r="J40" s="66" t="s">
        <v>479</v>
      </c>
      <c r="K40" s="176"/>
      <c r="L40" s="174" t="s">
        <v>657</v>
      </c>
      <c r="M40" s="66" t="s">
        <v>658</v>
      </c>
      <c r="N40" s="66" t="s">
        <v>659</v>
      </c>
      <c r="O40" s="66">
        <v>443</v>
      </c>
      <c r="P40" s="95" t="s">
        <v>446</v>
      </c>
      <c r="Q40" s="222" t="s">
        <v>660</v>
      </c>
      <c r="R40" s="158" t="s">
        <v>616</v>
      </c>
      <c r="S40" s="66" t="s">
        <v>449</v>
      </c>
      <c r="T40" s="66" t="s">
        <v>472</v>
      </c>
      <c r="U40" s="66"/>
      <c r="V40" s="66"/>
      <c r="W40" s="66"/>
      <c r="X40" s="66"/>
      <c r="Y40" s="66"/>
      <c r="Z40" s="66"/>
      <c r="AA40" s="66"/>
      <c r="AB40" s="66" t="s">
        <v>656</v>
      </c>
      <c r="AC40" s="66"/>
    </row>
    <row r="41" spans="1:31" s="67" customFormat="1">
      <c r="A41" s="65">
        <f>VLOOKUP(B41,'서비스 Master'!$C$4:$D$62,2,FALSE)</f>
        <v>20</v>
      </c>
      <c r="B41" s="66" t="s">
        <v>208</v>
      </c>
      <c r="C41" s="65" t="str">
        <f>VLOOKUP(B41,'서비스 Master'!$C$4:$P$62,14,FALSE)</f>
        <v>명진</v>
      </c>
      <c r="D41" s="65" t="str">
        <f>VLOOKUP(B41,'서비스 Master'!$C$4:$P$62,10,FALSE)</f>
        <v>이인</v>
      </c>
      <c r="E41" s="65" t="str">
        <f>VLOOKUP(B41,'서비스 Master'!$C$4:$P$62,11,FALSE)</f>
        <v>최창길</v>
      </c>
      <c r="F41" s="66" t="s">
        <v>97</v>
      </c>
      <c r="G41" s="66" t="s">
        <v>440</v>
      </c>
      <c r="H41" s="66" t="s">
        <v>661</v>
      </c>
      <c r="I41" s="66"/>
      <c r="J41" s="66" t="s">
        <v>662</v>
      </c>
      <c r="K41" s="176"/>
      <c r="L41" s="176"/>
      <c r="M41" s="66" t="s">
        <v>663</v>
      </c>
      <c r="N41" s="66" t="s">
        <v>664</v>
      </c>
      <c r="O41" s="66"/>
      <c r="P41" s="156" t="s">
        <v>665</v>
      </c>
      <c r="Q41" s="129"/>
      <c r="R41" s="158" t="s">
        <v>448</v>
      </c>
      <c r="S41" s="66" t="s">
        <v>449</v>
      </c>
      <c r="T41" s="66" t="s">
        <v>509</v>
      </c>
      <c r="U41" s="146" t="s">
        <v>666</v>
      </c>
      <c r="V41" s="66" t="s">
        <v>511</v>
      </c>
      <c r="W41" s="66">
        <v>1521</v>
      </c>
      <c r="X41" s="66" t="s">
        <v>667</v>
      </c>
      <c r="Y41" s="133" t="s">
        <v>120</v>
      </c>
      <c r="Z41" s="2">
        <v>101</v>
      </c>
      <c r="AA41" s="66"/>
      <c r="AB41" s="66" t="s">
        <v>668</v>
      </c>
      <c r="AC41" s="133" t="s">
        <v>669</v>
      </c>
      <c r="AE41" s="134"/>
    </row>
    <row r="42" spans="1:31" s="67" customFormat="1" ht="16.5">
      <c r="A42" s="65">
        <f>VLOOKUP(B42,'서비스 Master'!$C$4:$D$62,2,FALSE)</f>
        <v>21</v>
      </c>
      <c r="B42" s="66" t="s">
        <v>215</v>
      </c>
      <c r="C42" s="65" t="str">
        <f>VLOOKUP(B42,'서비스 Master'!$C$4:$P$62,14,FALSE)</f>
        <v>명진</v>
      </c>
      <c r="D42" s="65" t="str">
        <f>VLOOKUP(B42,'서비스 Master'!$C$4:$P$62,10,FALSE)</f>
        <v>이용재</v>
      </c>
      <c r="E42" s="65" t="str">
        <f>VLOOKUP(B42,'서비스 Master'!$C$4:$P$62,11,FALSE)</f>
        <v>구본호</v>
      </c>
      <c r="F42" s="66" t="s">
        <v>97</v>
      </c>
      <c r="G42" s="66" t="s">
        <v>440</v>
      </c>
      <c r="H42" s="66" t="s">
        <v>466</v>
      </c>
      <c r="I42" s="66"/>
      <c r="J42" s="66" t="s">
        <v>421</v>
      </c>
      <c r="K42" s="176"/>
      <c r="L42" s="176" t="s">
        <v>670</v>
      </c>
      <c r="M42" s="66" t="s">
        <v>671</v>
      </c>
      <c r="N42" s="221" t="s">
        <v>672</v>
      </c>
      <c r="O42" s="66">
        <v>443</v>
      </c>
      <c r="P42" s="95" t="s">
        <v>446</v>
      </c>
      <c r="Q42" s="153" t="s">
        <v>673</v>
      </c>
      <c r="R42" s="158"/>
      <c r="S42" s="66" t="s">
        <v>674</v>
      </c>
      <c r="T42" s="66" t="s">
        <v>498</v>
      </c>
      <c r="U42" s="66" t="s">
        <v>473</v>
      </c>
      <c r="V42" s="66" t="s">
        <v>474</v>
      </c>
      <c r="W42" s="66">
        <v>51433</v>
      </c>
      <c r="X42" s="66" t="s">
        <v>675</v>
      </c>
      <c r="Y42" s="66" t="s">
        <v>96</v>
      </c>
      <c r="Z42" s="66">
        <v>6.2</v>
      </c>
      <c r="AA42" s="66"/>
      <c r="AB42" s="66" t="s">
        <v>562</v>
      </c>
      <c r="AC42" s="66"/>
    </row>
    <row r="43" spans="1:31" s="67" customFormat="1" ht="16.5">
      <c r="A43" s="65">
        <f>VLOOKUP(B43,'서비스 Master'!$C$4:$D$62,2,FALSE)</f>
        <v>21</v>
      </c>
      <c r="B43" s="66" t="s">
        <v>215</v>
      </c>
      <c r="C43" s="65" t="str">
        <f>VLOOKUP(B43,'서비스 Master'!$C$4:$P$62,14,FALSE)</f>
        <v>명진</v>
      </c>
      <c r="D43" s="65" t="str">
        <f>VLOOKUP(B43,'서비스 Master'!$C$4:$P$62,10,FALSE)</f>
        <v>이용재</v>
      </c>
      <c r="E43" s="65" t="str">
        <f>VLOOKUP(B43,'서비스 Master'!$C$4:$P$62,11,FALSE)</f>
        <v>구본호</v>
      </c>
      <c r="F43" s="66" t="s">
        <v>97</v>
      </c>
      <c r="G43" s="66" t="s">
        <v>440</v>
      </c>
      <c r="H43" s="66" t="s">
        <v>466</v>
      </c>
      <c r="I43" s="66"/>
      <c r="J43" s="66" t="s">
        <v>421</v>
      </c>
      <c r="K43" s="176"/>
      <c r="L43" s="176" t="s">
        <v>670</v>
      </c>
      <c r="M43" s="66" t="s">
        <v>676</v>
      </c>
      <c r="N43" s="214" t="s">
        <v>677</v>
      </c>
      <c r="O43" s="66">
        <v>443</v>
      </c>
      <c r="P43" s="95" t="s">
        <v>446</v>
      </c>
      <c r="Q43" s="153" t="s">
        <v>678</v>
      </c>
      <c r="R43" s="158"/>
      <c r="S43" s="66" t="s">
        <v>674</v>
      </c>
      <c r="T43" s="66" t="s">
        <v>498</v>
      </c>
      <c r="U43" s="66" t="s">
        <v>473</v>
      </c>
      <c r="V43" s="66" t="s">
        <v>474</v>
      </c>
      <c r="W43" s="66">
        <v>51433</v>
      </c>
      <c r="X43" s="66" t="s">
        <v>675</v>
      </c>
      <c r="Y43" s="66" t="s">
        <v>96</v>
      </c>
      <c r="Z43" s="66">
        <v>6.2</v>
      </c>
      <c r="AA43" s="66"/>
      <c r="AB43" s="66" t="s">
        <v>562</v>
      </c>
      <c r="AC43" s="66"/>
    </row>
    <row r="44" spans="1:31" s="67" customFormat="1">
      <c r="A44" s="65">
        <f>VLOOKUP(B44,'서비스 Master'!$C$4:$D$62,2,FALSE)</f>
        <v>21</v>
      </c>
      <c r="B44" s="66" t="s">
        <v>215</v>
      </c>
      <c r="C44" s="65" t="str">
        <f>VLOOKUP(B44,'서비스 Master'!$C$4:$P$62,14,FALSE)</f>
        <v>명진</v>
      </c>
      <c r="D44" s="65" t="str">
        <f>VLOOKUP(B44,'서비스 Master'!$C$4:$P$62,10,FALSE)</f>
        <v>이용재</v>
      </c>
      <c r="E44" s="65" t="str">
        <f>VLOOKUP(B44,'서비스 Master'!$C$4:$P$62,11,FALSE)</f>
        <v>구본호</v>
      </c>
      <c r="F44" s="66" t="s">
        <v>97</v>
      </c>
      <c r="G44" s="66" t="s">
        <v>440</v>
      </c>
      <c r="H44" s="66" t="s">
        <v>466</v>
      </c>
      <c r="I44" s="66"/>
      <c r="J44" s="66" t="s">
        <v>421</v>
      </c>
      <c r="K44" s="176" t="s">
        <v>679</v>
      </c>
      <c r="L44" s="176"/>
      <c r="M44" s="66" t="s">
        <v>680</v>
      </c>
      <c r="N44" s="66" t="s">
        <v>681</v>
      </c>
      <c r="O44" s="66"/>
      <c r="P44" s="95" t="s">
        <v>446</v>
      </c>
      <c r="Q44" s="129"/>
      <c r="R44" s="158"/>
      <c r="S44" s="66"/>
      <c r="T44" s="66"/>
      <c r="U44" s="66" t="s">
        <v>473</v>
      </c>
      <c r="V44" s="66" t="s">
        <v>474</v>
      </c>
      <c r="W44" s="66">
        <v>51433</v>
      </c>
      <c r="X44" s="66" t="s">
        <v>675</v>
      </c>
      <c r="Y44" s="66" t="s">
        <v>96</v>
      </c>
      <c r="Z44" s="66">
        <v>6.2</v>
      </c>
      <c r="AA44" s="66"/>
      <c r="AB44" s="66" t="s">
        <v>562</v>
      </c>
      <c r="AC44" s="66"/>
    </row>
    <row r="45" spans="1:31" s="67" customFormat="1" ht="13.5" customHeight="1">
      <c r="A45" s="65"/>
      <c r="B45" s="66" t="s">
        <v>215</v>
      </c>
      <c r="C45" s="65" t="str">
        <f>VLOOKUP(B45,'서비스 Master'!$C$4:$P$62,14,FALSE)</f>
        <v>명진</v>
      </c>
      <c r="D45" s="65" t="str">
        <f>VLOOKUP(B45,'서비스 Master'!$C$4:$P$62,10,FALSE)</f>
        <v>이용재</v>
      </c>
      <c r="E45" s="65" t="str">
        <f>VLOOKUP(B45,'서비스 Master'!$C$4:$P$62,11,FALSE)</f>
        <v>구본호</v>
      </c>
      <c r="F45" s="66" t="s">
        <v>97</v>
      </c>
      <c r="G45" s="66" t="s">
        <v>457</v>
      </c>
      <c r="H45" s="66" t="s">
        <v>466</v>
      </c>
      <c r="I45" s="66"/>
      <c r="J45" s="66" t="s">
        <v>421</v>
      </c>
      <c r="K45" s="176"/>
      <c r="L45" s="176" t="s">
        <v>670</v>
      </c>
      <c r="M45" s="66" t="s">
        <v>682</v>
      </c>
      <c r="N45" s="214" t="s">
        <v>683</v>
      </c>
      <c r="O45" s="66">
        <v>443</v>
      </c>
      <c r="P45" s="95" t="s">
        <v>470</v>
      </c>
      <c r="Q45" s="153" t="s">
        <v>684</v>
      </c>
      <c r="R45" s="123"/>
      <c r="S45" s="66" t="s">
        <v>674</v>
      </c>
      <c r="T45" s="66" t="s">
        <v>498</v>
      </c>
      <c r="U45" s="66" t="s">
        <v>503</v>
      </c>
      <c r="V45" s="66" t="s">
        <v>490</v>
      </c>
      <c r="W45" s="66">
        <v>51433</v>
      </c>
      <c r="X45" s="66" t="s">
        <v>675</v>
      </c>
      <c r="Y45" s="66" t="s">
        <v>96</v>
      </c>
      <c r="Z45" s="66">
        <v>5.6</v>
      </c>
      <c r="AA45" s="66"/>
      <c r="AB45" s="66" t="s">
        <v>562</v>
      </c>
      <c r="AC45" s="66"/>
    </row>
    <row r="46" spans="1:31" s="67" customFormat="1" ht="13.5" customHeight="1">
      <c r="A46" s="65"/>
      <c r="B46" s="66" t="s">
        <v>215</v>
      </c>
      <c r="C46" s="65" t="str">
        <f>VLOOKUP(B46,'서비스 Master'!$C$4:$P$62,14,FALSE)</f>
        <v>명진</v>
      </c>
      <c r="D46" s="65" t="str">
        <f>VLOOKUP(B46,'서비스 Master'!$C$4:$P$62,10,FALSE)</f>
        <v>이용재</v>
      </c>
      <c r="E46" s="65" t="str">
        <f>VLOOKUP(B46,'서비스 Master'!$C$4:$P$62,11,FALSE)</f>
        <v>구본호</v>
      </c>
      <c r="F46" s="66" t="s">
        <v>97</v>
      </c>
      <c r="G46" s="66" t="s">
        <v>457</v>
      </c>
      <c r="H46" s="66" t="s">
        <v>466</v>
      </c>
      <c r="I46" s="66"/>
      <c r="J46" s="66" t="s">
        <v>421</v>
      </c>
      <c r="K46" s="176"/>
      <c r="L46" s="176" t="s">
        <v>670</v>
      </c>
      <c r="M46" s="66" t="s">
        <v>682</v>
      </c>
      <c r="N46" s="214" t="s">
        <v>683</v>
      </c>
      <c r="O46" s="66">
        <v>443</v>
      </c>
      <c r="P46" s="95" t="s">
        <v>470</v>
      </c>
      <c r="Q46" s="153" t="s">
        <v>685</v>
      </c>
      <c r="R46" s="123"/>
      <c r="S46" s="66" t="s">
        <v>674</v>
      </c>
      <c r="T46" s="66" t="s">
        <v>498</v>
      </c>
      <c r="U46" s="66" t="s">
        <v>503</v>
      </c>
      <c r="V46" s="66" t="s">
        <v>490</v>
      </c>
      <c r="W46" s="66">
        <v>51433</v>
      </c>
      <c r="X46" s="66" t="s">
        <v>675</v>
      </c>
      <c r="Y46" s="66" t="s">
        <v>96</v>
      </c>
      <c r="Z46" s="66">
        <v>5.6</v>
      </c>
      <c r="AA46" s="66"/>
      <c r="AB46" s="66" t="s">
        <v>562</v>
      </c>
      <c r="AC46" s="66"/>
    </row>
    <row r="47" spans="1:31" s="67" customFormat="1">
      <c r="A47" s="65">
        <f>VLOOKUP(B47,'서비스 Master'!$C$4:$D$62,2,FALSE)</f>
        <v>22</v>
      </c>
      <c r="B47" s="66" t="s">
        <v>686</v>
      </c>
      <c r="C47" s="65" t="str">
        <f>VLOOKUP(B47,'서비스 Master'!$C$4:$P$62,14,FALSE)</f>
        <v>박상진</v>
      </c>
      <c r="D47" s="65" t="str">
        <f>VLOOKUP(B47,'서비스 Master'!$C$4:$P$62,10,FALSE)</f>
        <v>이인</v>
      </c>
      <c r="E47" s="65" t="str">
        <f>VLOOKUP(B47,'서비스 Master'!$C$4:$P$62,11,FALSE)</f>
        <v>김은수</v>
      </c>
      <c r="F47" s="66" t="s">
        <v>97</v>
      </c>
      <c r="G47" s="66" t="s">
        <v>440</v>
      </c>
      <c r="H47" s="66" t="s">
        <v>441</v>
      </c>
      <c r="I47" s="66" t="s">
        <v>442</v>
      </c>
      <c r="J47" s="66" t="s">
        <v>421</v>
      </c>
      <c r="K47" s="176"/>
      <c r="L47" s="176" t="s">
        <v>687</v>
      </c>
      <c r="M47" s="66" t="s">
        <v>688</v>
      </c>
      <c r="N47" s="66" t="s">
        <v>689</v>
      </c>
      <c r="O47" s="66">
        <v>443</v>
      </c>
      <c r="P47" s="95" t="s">
        <v>470</v>
      </c>
      <c r="Q47" s="153" t="s">
        <v>690</v>
      </c>
      <c r="R47" s="158" t="s">
        <v>448</v>
      </c>
      <c r="S47" s="66" t="s">
        <v>449</v>
      </c>
      <c r="T47" s="66" t="s">
        <v>472</v>
      </c>
      <c r="U47" s="66" t="s">
        <v>691</v>
      </c>
      <c r="V47" s="66" t="s">
        <v>452</v>
      </c>
      <c r="W47" s="66">
        <v>51433</v>
      </c>
      <c r="X47" s="66" t="s">
        <v>692</v>
      </c>
      <c r="Y47" s="66" t="s">
        <v>73</v>
      </c>
      <c r="Z47" s="66">
        <v>3</v>
      </c>
      <c r="AA47" s="66" t="s">
        <v>454</v>
      </c>
      <c r="AB47" s="66" t="s">
        <v>693</v>
      </c>
      <c r="AC47" s="66"/>
    </row>
    <row r="48" spans="1:31" s="67" customFormat="1">
      <c r="A48" s="65">
        <f>VLOOKUP(B48,'서비스 Master'!$C$4:$D$62,2,FALSE)</f>
        <v>22</v>
      </c>
      <c r="B48" s="66" t="s">
        <v>686</v>
      </c>
      <c r="C48" s="65" t="str">
        <f>VLOOKUP(B48,'서비스 Master'!$C$4:$P$62,14,FALSE)</f>
        <v>박상진</v>
      </c>
      <c r="D48" s="65" t="str">
        <f>VLOOKUP(B48,'서비스 Master'!$C$4:$P$62,10,FALSE)</f>
        <v>이인</v>
      </c>
      <c r="E48" s="65" t="str">
        <f>VLOOKUP(B48,'서비스 Master'!$C$4:$P$62,11,FALSE)</f>
        <v>김은수</v>
      </c>
      <c r="F48" s="66" t="s">
        <v>97</v>
      </c>
      <c r="G48" s="66" t="s">
        <v>457</v>
      </c>
      <c r="H48" s="66" t="s">
        <v>441</v>
      </c>
      <c r="I48" s="66" t="s">
        <v>458</v>
      </c>
      <c r="J48" s="66" t="s">
        <v>421</v>
      </c>
      <c r="K48" s="176"/>
      <c r="L48" s="176" t="s">
        <v>694</v>
      </c>
      <c r="M48" s="66" t="s">
        <v>695</v>
      </c>
      <c r="N48" s="66" t="s">
        <v>696</v>
      </c>
      <c r="O48" s="66">
        <v>443</v>
      </c>
      <c r="P48" s="95" t="s">
        <v>470</v>
      </c>
      <c r="Q48" s="153" t="s">
        <v>697</v>
      </c>
      <c r="R48" s="158" t="s">
        <v>448</v>
      </c>
      <c r="S48" s="66" t="s">
        <v>449</v>
      </c>
      <c r="T48" s="66" t="s">
        <v>472</v>
      </c>
      <c r="U48" s="66" t="s">
        <v>464</v>
      </c>
      <c r="V48" s="66" t="s">
        <v>465</v>
      </c>
      <c r="W48" s="66">
        <v>51433</v>
      </c>
      <c r="X48" s="66" t="s">
        <v>698</v>
      </c>
      <c r="Y48" s="66" t="s">
        <v>73</v>
      </c>
      <c r="Z48" s="66">
        <v>0.8</v>
      </c>
      <c r="AA48" s="66" t="s">
        <v>454</v>
      </c>
      <c r="AB48" s="66" t="s">
        <v>699</v>
      </c>
      <c r="AC48" s="66"/>
    </row>
    <row r="49" spans="1:29" s="67" customFormat="1">
      <c r="A49" s="65">
        <f>VLOOKUP(B49,'서비스 Master'!$C$4:$D$62,2,FALSE)</f>
        <v>23</v>
      </c>
      <c r="B49" s="66" t="s">
        <v>225</v>
      </c>
      <c r="C49" s="65" t="str">
        <f>VLOOKUP(B49,'서비스 Master'!$C$4:$P$62,14,FALSE)</f>
        <v>박상진</v>
      </c>
      <c r="D49" s="65" t="str">
        <f>VLOOKUP(B49,'서비스 Master'!$C$4:$P$62,10,FALSE)</f>
        <v>이인</v>
      </c>
      <c r="E49" s="65" t="str">
        <f>VLOOKUP(B49,'서비스 Master'!$C$4:$P$62,11,FALSE)</f>
        <v>정정배/김기정</v>
      </c>
      <c r="F49" s="66" t="s">
        <v>97</v>
      </c>
      <c r="G49" s="66" t="s">
        <v>440</v>
      </c>
      <c r="H49" s="66" t="s">
        <v>441</v>
      </c>
      <c r="I49" s="66" t="s">
        <v>458</v>
      </c>
      <c r="J49" s="66" t="s">
        <v>662</v>
      </c>
      <c r="K49" s="176" t="s">
        <v>443</v>
      </c>
      <c r="L49" s="176"/>
      <c r="M49" s="66" t="s">
        <v>700</v>
      </c>
      <c r="N49" s="214" t="s">
        <v>701</v>
      </c>
      <c r="O49" s="66">
        <v>443</v>
      </c>
      <c r="P49" s="95" t="s">
        <v>446</v>
      </c>
      <c r="Q49" s="153" t="s">
        <v>702</v>
      </c>
      <c r="R49" s="158" t="s">
        <v>616</v>
      </c>
      <c r="S49" s="66" t="s">
        <v>449</v>
      </c>
      <c r="T49" s="66" t="s">
        <v>450</v>
      </c>
      <c r="U49" s="66" t="s">
        <v>703</v>
      </c>
      <c r="V49" s="66" t="s">
        <v>704</v>
      </c>
      <c r="W49" s="66">
        <v>1521</v>
      </c>
      <c r="X49" s="66" t="s">
        <v>705</v>
      </c>
      <c r="Y49" s="66" t="s">
        <v>368</v>
      </c>
      <c r="Z49" s="66">
        <v>106</v>
      </c>
      <c r="AA49" s="66"/>
      <c r="AB49" s="66" t="s">
        <v>706</v>
      </c>
      <c r="AC49" s="66"/>
    </row>
    <row r="50" spans="1:29" s="67" customFormat="1">
      <c r="A50" s="65">
        <f>VLOOKUP(B50,'서비스 Master'!$C$4:$D$62,2,FALSE)</f>
        <v>23</v>
      </c>
      <c r="B50" s="66" t="s">
        <v>225</v>
      </c>
      <c r="C50" s="65" t="str">
        <f>VLOOKUP(B50,'서비스 Master'!$C$4:$P$62,14,FALSE)</f>
        <v>박상진</v>
      </c>
      <c r="D50" s="65" t="str">
        <f>VLOOKUP(B50,'서비스 Master'!$C$4:$P$62,10,FALSE)</f>
        <v>이인</v>
      </c>
      <c r="E50" s="65" t="str">
        <f>VLOOKUP(B50,'서비스 Master'!$C$4:$P$62,11,FALSE)</f>
        <v>정정배/김기정</v>
      </c>
      <c r="F50" s="66" t="s">
        <v>97</v>
      </c>
      <c r="G50" s="66" t="s">
        <v>440</v>
      </c>
      <c r="H50" s="66" t="s">
        <v>441</v>
      </c>
      <c r="I50" s="66" t="s">
        <v>458</v>
      </c>
      <c r="J50" s="66" t="s">
        <v>662</v>
      </c>
      <c r="K50" s="176" t="s">
        <v>443</v>
      </c>
      <c r="L50" s="176"/>
      <c r="M50" s="66" t="s">
        <v>707</v>
      </c>
      <c r="N50" s="214" t="s">
        <v>708</v>
      </c>
      <c r="O50" s="66">
        <v>443</v>
      </c>
      <c r="P50" s="95" t="s">
        <v>446</v>
      </c>
      <c r="Q50" s="153" t="s">
        <v>702</v>
      </c>
      <c r="R50" s="158" t="s">
        <v>616</v>
      </c>
      <c r="S50" s="66" t="s">
        <v>449</v>
      </c>
      <c r="T50" s="66" t="s">
        <v>450</v>
      </c>
      <c r="U50" s="66" t="s">
        <v>703</v>
      </c>
      <c r="V50" s="66" t="s">
        <v>704</v>
      </c>
      <c r="W50" s="66">
        <v>1521</v>
      </c>
      <c r="X50" s="66" t="s">
        <v>705</v>
      </c>
      <c r="Y50" s="66" t="s">
        <v>368</v>
      </c>
      <c r="Z50" s="66">
        <v>106</v>
      </c>
      <c r="AA50" s="66"/>
      <c r="AB50" s="66" t="s">
        <v>706</v>
      </c>
      <c r="AC50" s="66"/>
    </row>
    <row r="51" spans="1:29" s="67" customFormat="1">
      <c r="A51" s="65">
        <f>VLOOKUP(B51,'서비스 Master'!$C$4:$D$62,2,FALSE)</f>
        <v>23</v>
      </c>
      <c r="B51" s="66" t="s">
        <v>225</v>
      </c>
      <c r="C51" s="65" t="str">
        <f>VLOOKUP(B51,'서비스 Master'!$C$4:$P$62,14,FALSE)</f>
        <v>박상진</v>
      </c>
      <c r="D51" s="65" t="str">
        <f>VLOOKUP(B51,'서비스 Master'!$C$4:$P$62,10,FALSE)</f>
        <v>이인</v>
      </c>
      <c r="E51" s="65" t="str">
        <f>VLOOKUP(B51,'서비스 Master'!$C$4:$P$62,11,FALSE)</f>
        <v>정정배/김기정</v>
      </c>
      <c r="F51" s="66" t="s">
        <v>97</v>
      </c>
      <c r="G51" s="66" t="s">
        <v>457</v>
      </c>
      <c r="H51" s="66" t="s">
        <v>441</v>
      </c>
      <c r="I51" s="66"/>
      <c r="J51" s="66" t="s">
        <v>662</v>
      </c>
      <c r="K51" s="176" t="s">
        <v>443</v>
      </c>
      <c r="L51" s="176"/>
      <c r="M51" s="66" t="s">
        <v>709</v>
      </c>
      <c r="N51" s="66" t="s">
        <v>710</v>
      </c>
      <c r="O51" s="66">
        <v>443</v>
      </c>
      <c r="P51" s="95" t="s">
        <v>446</v>
      </c>
      <c r="Q51" s="153" t="s">
        <v>711</v>
      </c>
      <c r="R51" s="158" t="s">
        <v>616</v>
      </c>
      <c r="S51" s="66" t="s">
        <v>449</v>
      </c>
      <c r="T51" s="66" t="s">
        <v>450</v>
      </c>
      <c r="U51" s="66" t="s">
        <v>712</v>
      </c>
      <c r="V51" s="66" t="s">
        <v>713</v>
      </c>
      <c r="W51" s="66">
        <v>1521</v>
      </c>
      <c r="X51" s="66" t="s">
        <v>714</v>
      </c>
      <c r="Y51" s="66" t="s">
        <v>368</v>
      </c>
      <c r="Z51" s="66">
        <v>217</v>
      </c>
      <c r="AA51" s="66"/>
      <c r="AB51" s="66" t="s">
        <v>715</v>
      </c>
      <c r="AC51" s="66"/>
    </row>
    <row r="52" spans="1:29" s="67" customFormat="1">
      <c r="A52" s="65">
        <f>VLOOKUP(B52,'서비스 Master'!$C$4:$D$62,2,FALSE)</f>
        <v>24</v>
      </c>
      <c r="B52" s="66" t="s">
        <v>232</v>
      </c>
      <c r="C52" s="65" t="str">
        <f>VLOOKUP(B52,'서비스 Master'!$C$4:$P$62,14,FALSE)</f>
        <v>박상진</v>
      </c>
      <c r="D52" s="65" t="str">
        <f>VLOOKUP(B52,'서비스 Master'!$C$4:$P$62,10,FALSE)</f>
        <v>이인</v>
      </c>
      <c r="E52" s="65" t="str">
        <f>VLOOKUP(B52,'서비스 Master'!$C$4:$P$62,11,FALSE)</f>
        <v>김형일</v>
      </c>
      <c r="F52" s="66" t="s">
        <v>97</v>
      </c>
      <c r="G52" s="66" t="s">
        <v>440</v>
      </c>
      <c r="H52" s="66" t="s">
        <v>441</v>
      </c>
      <c r="I52" s="66" t="s">
        <v>458</v>
      </c>
      <c r="J52" s="66" t="s">
        <v>421</v>
      </c>
      <c r="K52" s="176"/>
      <c r="L52" s="174" t="s">
        <v>652</v>
      </c>
      <c r="M52" s="66" t="s">
        <v>716</v>
      </c>
      <c r="N52" s="66" t="s">
        <v>654</v>
      </c>
      <c r="O52" s="66">
        <v>53389</v>
      </c>
      <c r="P52" s="95" t="s">
        <v>446</v>
      </c>
      <c r="Q52" s="152" t="s">
        <v>717</v>
      </c>
      <c r="R52" s="158" t="s">
        <v>616</v>
      </c>
      <c r="S52" s="66" t="s">
        <v>449</v>
      </c>
      <c r="T52" s="66" t="s">
        <v>472</v>
      </c>
      <c r="U52" s="66" t="s">
        <v>718</v>
      </c>
      <c r="V52" s="66" t="s">
        <v>719</v>
      </c>
      <c r="W52" s="66">
        <v>51433</v>
      </c>
      <c r="X52" s="66" t="s">
        <v>720</v>
      </c>
      <c r="Y52" s="66" t="s">
        <v>96</v>
      </c>
      <c r="Z52" s="66">
        <v>32.6</v>
      </c>
      <c r="AA52" s="66"/>
      <c r="AB52" s="66" t="s">
        <v>721</v>
      </c>
      <c r="AC52" s="66"/>
    </row>
    <row r="53" spans="1:29" s="67" customFormat="1">
      <c r="A53" s="65">
        <f>VLOOKUP(B53,'서비스 Master'!$C$4:$D$62,2,FALSE)</f>
        <v>24</v>
      </c>
      <c r="B53" s="66" t="s">
        <v>232</v>
      </c>
      <c r="C53" s="65" t="str">
        <f>VLOOKUP(B53,'서비스 Master'!$C$4:$P$62,14,FALSE)</f>
        <v>박상진</v>
      </c>
      <c r="D53" s="65" t="str">
        <f>VLOOKUP(B53,'서비스 Master'!$C$4:$P$62,10,FALSE)</f>
        <v>이인</v>
      </c>
      <c r="E53" s="65" t="str">
        <f>VLOOKUP(B53,'서비스 Master'!$C$4:$P$62,11,FALSE)</f>
        <v>김형일</v>
      </c>
      <c r="F53" s="66" t="s">
        <v>97</v>
      </c>
      <c r="G53" s="66" t="s">
        <v>457</v>
      </c>
      <c r="H53" s="66" t="s">
        <v>441</v>
      </c>
      <c r="I53" s="66" t="s">
        <v>458</v>
      </c>
      <c r="J53" s="66" t="s">
        <v>421</v>
      </c>
      <c r="K53" s="176" t="s">
        <v>443</v>
      </c>
      <c r="L53" s="174" t="s">
        <v>657</v>
      </c>
      <c r="M53" s="66" t="s">
        <v>722</v>
      </c>
      <c r="N53" s="66" t="s">
        <v>659</v>
      </c>
      <c r="O53" s="66">
        <v>443</v>
      </c>
      <c r="P53" s="95" t="s">
        <v>446</v>
      </c>
      <c r="Q53" s="215" t="s">
        <v>723</v>
      </c>
      <c r="R53" s="158" t="s">
        <v>616</v>
      </c>
      <c r="S53" s="66" t="s">
        <v>449</v>
      </c>
      <c r="T53" s="66" t="s">
        <v>472</v>
      </c>
      <c r="U53" s="66" t="s">
        <v>724</v>
      </c>
      <c r="V53" s="66" t="s">
        <v>634</v>
      </c>
      <c r="W53" s="66">
        <v>51433</v>
      </c>
      <c r="X53" s="66" t="s">
        <v>720</v>
      </c>
      <c r="Y53" s="66" t="s">
        <v>96</v>
      </c>
      <c r="Z53" s="66">
        <v>55.4</v>
      </c>
      <c r="AA53" s="66"/>
      <c r="AB53" s="66" t="s">
        <v>721</v>
      </c>
      <c r="AC53" s="66"/>
    </row>
    <row r="54" spans="1:29" s="67" customFormat="1" ht="27.75">
      <c r="A54" s="65">
        <f>VLOOKUP(B54,'서비스 Master'!$C$4:$D$62,2,FALSE)</f>
        <v>25</v>
      </c>
      <c r="B54" s="66" t="s">
        <v>236</v>
      </c>
      <c r="C54" s="65" t="str">
        <f>VLOOKUP(B54,'서비스 Master'!$C$4:$P$62,14,FALSE)</f>
        <v>임준식</v>
      </c>
      <c r="D54" s="65" t="str">
        <f>VLOOKUP(B54,'서비스 Master'!$C$4:$P$62,10,FALSE)</f>
        <v>이인</v>
      </c>
      <c r="E54" s="65" t="str">
        <f>VLOOKUP(B54,'서비스 Master'!$C$4:$P$62,11,FALSE)</f>
        <v>최용진</v>
      </c>
      <c r="F54" s="66" t="s">
        <v>97</v>
      </c>
      <c r="G54" s="66" t="s">
        <v>440</v>
      </c>
      <c r="H54" s="66" t="s">
        <v>441</v>
      </c>
      <c r="I54" s="66"/>
      <c r="J54" s="66" t="s">
        <v>421</v>
      </c>
      <c r="K54" s="176" t="s">
        <v>443</v>
      </c>
      <c r="L54" s="174" t="s">
        <v>725</v>
      </c>
      <c r="M54" s="66" t="s">
        <v>726</v>
      </c>
      <c r="N54" s="66" t="s">
        <v>727</v>
      </c>
      <c r="O54" s="66">
        <v>3389</v>
      </c>
      <c r="P54" s="95" t="s">
        <v>446</v>
      </c>
      <c r="Q54" s="152" t="s">
        <v>728</v>
      </c>
      <c r="R54" s="158" t="s">
        <v>448</v>
      </c>
      <c r="S54" s="66" t="s">
        <v>449</v>
      </c>
      <c r="T54" s="66" t="s">
        <v>472</v>
      </c>
      <c r="U54" s="66" t="s">
        <v>729</v>
      </c>
      <c r="V54" s="66" t="s">
        <v>730</v>
      </c>
      <c r="W54" s="66">
        <v>1433</v>
      </c>
      <c r="X54" s="66" t="s">
        <v>731</v>
      </c>
      <c r="Y54" s="66" t="s">
        <v>235</v>
      </c>
      <c r="Z54" s="66">
        <v>2.1</v>
      </c>
      <c r="AA54" s="66"/>
      <c r="AB54" s="66" t="s">
        <v>732</v>
      </c>
      <c r="AC54" s="66"/>
    </row>
    <row r="55" spans="1:29" s="67" customFormat="1">
      <c r="A55" s="65">
        <f>VLOOKUP(B55,'서비스 Master'!$C$4:$D$62,2,FALSE)</f>
        <v>25</v>
      </c>
      <c r="B55" s="66" t="s">
        <v>236</v>
      </c>
      <c r="C55" s="65" t="str">
        <f>VLOOKUP(B55,'서비스 Master'!$C$4:$P$62,14,FALSE)</f>
        <v>임준식</v>
      </c>
      <c r="D55" s="65" t="str">
        <f>VLOOKUP(B55,'서비스 Master'!$C$4:$P$62,10,FALSE)</f>
        <v>이인</v>
      </c>
      <c r="E55" s="65" t="str">
        <f>VLOOKUP(B55,'서비스 Master'!$C$4:$P$62,11,FALSE)</f>
        <v>최용진</v>
      </c>
      <c r="F55" s="66" t="s">
        <v>97</v>
      </c>
      <c r="G55" s="66" t="s">
        <v>457</v>
      </c>
      <c r="H55" s="66" t="s">
        <v>441</v>
      </c>
      <c r="I55" s="66"/>
      <c r="J55" s="66" t="s">
        <v>421</v>
      </c>
      <c r="K55" s="176"/>
      <c r="L55" s="174" t="s">
        <v>733</v>
      </c>
      <c r="M55" s="66" t="s">
        <v>734</v>
      </c>
      <c r="N55" s="66" t="s">
        <v>735</v>
      </c>
      <c r="O55" s="66">
        <v>3389</v>
      </c>
      <c r="P55" s="95" t="s">
        <v>446</v>
      </c>
      <c r="Q55" s="215" t="s">
        <v>736</v>
      </c>
      <c r="R55" s="158" t="s">
        <v>448</v>
      </c>
      <c r="S55" s="66" t="s">
        <v>449</v>
      </c>
      <c r="T55" s="66" t="s">
        <v>472</v>
      </c>
      <c r="U55" s="66" t="s">
        <v>464</v>
      </c>
      <c r="V55" s="66" t="s">
        <v>465</v>
      </c>
      <c r="W55" s="66">
        <v>51433</v>
      </c>
      <c r="X55" s="66" t="s">
        <v>731</v>
      </c>
      <c r="Y55" s="66" t="s">
        <v>73</v>
      </c>
      <c r="Z55" s="66">
        <v>1.8</v>
      </c>
      <c r="AA55" s="66" t="s">
        <v>454</v>
      </c>
      <c r="AB55" s="66" t="s">
        <v>737</v>
      </c>
      <c r="AC55" s="66" t="s">
        <v>738</v>
      </c>
    </row>
    <row r="56" spans="1:29" s="67" customFormat="1">
      <c r="A56" s="65">
        <f>VLOOKUP(B56,'서비스 Master'!$C$4:$D$62,2,FALSE)</f>
        <v>26</v>
      </c>
      <c r="B56" s="66" t="s">
        <v>241</v>
      </c>
      <c r="C56" s="65" t="str">
        <f>VLOOKUP(B56,'서비스 Master'!$C$4:$P$62,14,FALSE)</f>
        <v>임준식</v>
      </c>
      <c r="D56" s="65" t="str">
        <f>VLOOKUP(B56,'서비스 Master'!$C$4:$P$62,10,FALSE)</f>
        <v>이인</v>
      </c>
      <c r="E56" s="65" t="str">
        <f>VLOOKUP(B56,'서비스 Master'!$C$4:$P$62,11,FALSE)</f>
        <v>최창길</v>
      </c>
      <c r="F56" s="66" t="s">
        <v>97</v>
      </c>
      <c r="G56" s="66" t="s">
        <v>440</v>
      </c>
      <c r="H56" s="66" t="s">
        <v>441</v>
      </c>
      <c r="I56" s="66"/>
      <c r="J56" s="66" t="s">
        <v>662</v>
      </c>
      <c r="K56" s="176"/>
      <c r="L56" s="176"/>
      <c r="M56" s="66" t="s">
        <v>739</v>
      </c>
      <c r="N56" s="66" t="s">
        <v>740</v>
      </c>
      <c r="O56" s="66">
        <v>443</v>
      </c>
      <c r="P56" s="156" t="s">
        <v>640</v>
      </c>
      <c r="Q56" s="129"/>
      <c r="R56" s="158" t="s">
        <v>448</v>
      </c>
      <c r="S56" s="66" t="s">
        <v>449</v>
      </c>
      <c r="T56" s="66" t="s">
        <v>509</v>
      </c>
      <c r="U56" s="66" t="s">
        <v>741</v>
      </c>
      <c r="V56" s="66" t="s">
        <v>742</v>
      </c>
      <c r="W56" s="66">
        <v>1521</v>
      </c>
      <c r="X56" s="66" t="s">
        <v>743</v>
      </c>
      <c r="Y56" s="133" t="s">
        <v>120</v>
      </c>
      <c r="Z56" s="2">
        <v>9.5</v>
      </c>
      <c r="AA56" s="66"/>
      <c r="AB56" s="66" t="s">
        <v>744</v>
      </c>
      <c r="AC56" s="66"/>
    </row>
    <row r="57" spans="1:29" s="67" customFormat="1">
      <c r="A57" s="65">
        <f>VLOOKUP(B57,'서비스 Master'!$C$4:$D$62,2,FALSE)</f>
        <v>26</v>
      </c>
      <c r="B57" s="66" t="s">
        <v>241</v>
      </c>
      <c r="C57" s="65" t="str">
        <f>VLOOKUP(B57,'서비스 Master'!$C$4:$P$62,14,FALSE)</f>
        <v>임준식</v>
      </c>
      <c r="D57" s="65" t="str">
        <f>VLOOKUP(B57,'서비스 Master'!$C$4:$P$62,10,FALSE)</f>
        <v>이인</v>
      </c>
      <c r="E57" s="65" t="str">
        <f>VLOOKUP(B57,'서비스 Master'!$C$4:$P$62,11,FALSE)</f>
        <v>최창길</v>
      </c>
      <c r="F57" s="66" t="s">
        <v>97</v>
      </c>
      <c r="G57" s="66" t="s">
        <v>457</v>
      </c>
      <c r="H57" s="66" t="s">
        <v>661</v>
      </c>
      <c r="I57" s="66"/>
      <c r="J57" s="66" t="s">
        <v>662</v>
      </c>
      <c r="K57" s="176"/>
      <c r="L57" s="176"/>
      <c r="M57" s="66"/>
      <c r="N57" s="66"/>
      <c r="O57" s="66"/>
      <c r="P57" s="95"/>
      <c r="Q57" s="151"/>
      <c r="R57" s="158" t="s">
        <v>448</v>
      </c>
      <c r="S57" s="66"/>
      <c r="T57" s="66"/>
      <c r="U57" s="2" t="s">
        <v>745</v>
      </c>
      <c r="V57" s="66" t="s">
        <v>746</v>
      </c>
      <c r="W57" s="66">
        <v>1521</v>
      </c>
      <c r="X57" s="66" t="s">
        <v>747</v>
      </c>
      <c r="Y57" s="133" t="s">
        <v>120</v>
      </c>
      <c r="Z57" s="2">
        <v>37</v>
      </c>
      <c r="AA57" s="66"/>
      <c r="AB57" s="66" t="s">
        <v>748</v>
      </c>
      <c r="AC57" s="66"/>
    </row>
    <row r="58" spans="1:29" s="67" customFormat="1">
      <c r="A58" s="65">
        <f>VLOOKUP(B58,'서비스 Master'!$C$4:$D$62,2,FALSE)</f>
        <v>26</v>
      </c>
      <c r="B58" s="66" t="s">
        <v>241</v>
      </c>
      <c r="C58" s="65" t="str">
        <f>VLOOKUP(B58,'서비스 Master'!$C$4:$P$62,14,FALSE)</f>
        <v>임준식</v>
      </c>
      <c r="D58" s="65" t="str">
        <f>VLOOKUP(B58,'서비스 Master'!$C$4:$P$62,10,FALSE)</f>
        <v>이인</v>
      </c>
      <c r="E58" s="65" t="str">
        <f>VLOOKUP(B58,'서비스 Master'!$C$4:$P$62,11,FALSE)</f>
        <v>최창길</v>
      </c>
      <c r="F58" s="66" t="s">
        <v>97</v>
      </c>
      <c r="G58" s="66" t="s">
        <v>440</v>
      </c>
      <c r="H58" s="66" t="s">
        <v>661</v>
      </c>
      <c r="I58" s="66"/>
      <c r="J58" s="66" t="s">
        <v>662</v>
      </c>
      <c r="K58" s="176"/>
      <c r="L58" s="176"/>
      <c r="M58" s="66"/>
      <c r="N58" s="66"/>
      <c r="O58" s="66"/>
      <c r="P58" s="95"/>
      <c r="Q58" s="129"/>
      <c r="R58" s="158" t="s">
        <v>448</v>
      </c>
      <c r="S58" s="66"/>
      <c r="T58" s="66"/>
      <c r="U58" s="66" t="s">
        <v>749</v>
      </c>
      <c r="V58" s="66" t="s">
        <v>750</v>
      </c>
      <c r="W58" s="66">
        <v>1433</v>
      </c>
      <c r="X58" s="66" t="s">
        <v>751</v>
      </c>
      <c r="Y58" s="66" t="s">
        <v>96</v>
      </c>
      <c r="Z58" s="66">
        <v>1.4</v>
      </c>
      <c r="AA58" s="66"/>
      <c r="AB58" s="66" t="s">
        <v>752</v>
      </c>
      <c r="AC58" s="66"/>
    </row>
    <row r="59" spans="1:29" s="67" customFormat="1">
      <c r="A59" s="65">
        <f>VLOOKUP(B59,'서비스 Master'!$C$4:$D$62,2,FALSE)</f>
        <v>26</v>
      </c>
      <c r="B59" s="66" t="s">
        <v>241</v>
      </c>
      <c r="C59" s="65" t="str">
        <f>VLOOKUP(B59,'서비스 Master'!$C$4:$P$62,14,FALSE)</f>
        <v>임준식</v>
      </c>
      <c r="D59" s="65" t="str">
        <f>VLOOKUP(B59,'서비스 Master'!$C$4:$P$62,10,FALSE)</f>
        <v>이인</v>
      </c>
      <c r="E59" s="65" t="str">
        <f>VLOOKUP(B59,'서비스 Master'!$C$4:$P$62,11,FALSE)</f>
        <v>최창길</v>
      </c>
      <c r="F59" s="66" t="s">
        <v>97</v>
      </c>
      <c r="G59" s="66" t="s">
        <v>440</v>
      </c>
      <c r="H59" s="66" t="s">
        <v>661</v>
      </c>
      <c r="I59" s="66"/>
      <c r="J59" s="66" t="s">
        <v>662</v>
      </c>
      <c r="K59" s="176" t="s">
        <v>443</v>
      </c>
      <c r="L59" s="176"/>
      <c r="M59" s="66" t="s">
        <v>753</v>
      </c>
      <c r="N59" s="66" t="s">
        <v>754</v>
      </c>
      <c r="O59" s="66">
        <v>3389</v>
      </c>
      <c r="P59" s="95" t="s">
        <v>755</v>
      </c>
      <c r="Q59" s="153" t="s">
        <v>756</v>
      </c>
      <c r="R59" s="158" t="s">
        <v>757</v>
      </c>
      <c r="S59" s="66" t="s">
        <v>449</v>
      </c>
      <c r="T59" s="66" t="s">
        <v>509</v>
      </c>
      <c r="U59" s="66"/>
      <c r="V59" s="66"/>
      <c r="W59" s="66"/>
      <c r="X59" s="66"/>
      <c r="Y59" s="66"/>
      <c r="Z59" s="66"/>
      <c r="AA59" s="66"/>
      <c r="AB59" s="66" t="s">
        <v>758</v>
      </c>
      <c r="AC59" s="66"/>
    </row>
    <row r="60" spans="1:29" s="67" customFormat="1">
      <c r="A60" s="65">
        <f>VLOOKUP(B60,'서비스 Master'!$C$4:$D$62,2,FALSE)</f>
        <v>27</v>
      </c>
      <c r="B60" s="66" t="s">
        <v>759</v>
      </c>
      <c r="C60" s="65" t="str">
        <f>VLOOKUP(B60,'서비스 Master'!$C$4:$P$62,14,FALSE)</f>
        <v>명진</v>
      </c>
      <c r="D60" s="65" t="str">
        <f>VLOOKUP(B60,'서비스 Master'!$C$4:$P$62,10,FALSE)</f>
        <v>이인</v>
      </c>
      <c r="E60" s="65" t="str">
        <f>VLOOKUP(B60,'서비스 Master'!$C$4:$P$62,11,FALSE)</f>
        <v>윤호정</v>
      </c>
      <c r="F60" s="66" t="s">
        <v>97</v>
      </c>
      <c r="G60" s="66" t="s">
        <v>440</v>
      </c>
      <c r="H60" s="66" t="s">
        <v>661</v>
      </c>
      <c r="I60" s="66"/>
      <c r="J60" s="66" t="s">
        <v>421</v>
      </c>
      <c r="K60" s="176"/>
      <c r="L60" s="176"/>
      <c r="M60" s="66" t="s">
        <v>760</v>
      </c>
      <c r="N60" s="66" t="s">
        <v>761</v>
      </c>
      <c r="O60" s="66">
        <v>53389</v>
      </c>
      <c r="P60" s="95" t="s">
        <v>755</v>
      </c>
      <c r="Q60" s="129"/>
      <c r="R60" s="158" t="s">
        <v>448</v>
      </c>
      <c r="S60" s="66" t="s">
        <v>449</v>
      </c>
      <c r="T60" s="66" t="s">
        <v>509</v>
      </c>
      <c r="U60" s="66" t="s">
        <v>451</v>
      </c>
      <c r="V60" s="66" t="s">
        <v>452</v>
      </c>
      <c r="W60" s="66">
        <v>51433</v>
      </c>
      <c r="X60" s="66" t="s">
        <v>762</v>
      </c>
      <c r="Y60" s="66" t="s">
        <v>73</v>
      </c>
      <c r="Z60" s="66">
        <v>4.2</v>
      </c>
      <c r="AA60" s="66" t="s">
        <v>454</v>
      </c>
      <c r="AB60" s="66" t="s">
        <v>763</v>
      </c>
      <c r="AC60" s="66"/>
    </row>
    <row r="61" spans="1:29" s="67" customFormat="1">
      <c r="A61" s="65">
        <f>VLOOKUP(B61,'서비스 Master'!$C$4:$D$62,2,FALSE)</f>
        <v>28</v>
      </c>
      <c r="B61" s="66" t="s">
        <v>251</v>
      </c>
      <c r="C61" s="65" t="str">
        <f>VLOOKUP(B61,'서비스 Master'!$C$4:$P$62,14,FALSE)</f>
        <v>명진</v>
      </c>
      <c r="D61" s="65" t="str">
        <f>VLOOKUP(B61,'서비스 Master'!$C$4:$P$62,10,FALSE)</f>
        <v>이인</v>
      </c>
      <c r="E61" s="65" t="str">
        <f>VLOOKUP(B61,'서비스 Master'!$C$4:$P$62,11,FALSE)</f>
        <v>김소영/황영주</v>
      </c>
      <c r="F61" s="66" t="s">
        <v>97</v>
      </c>
      <c r="G61" s="66" t="s">
        <v>440</v>
      </c>
      <c r="H61" s="66" t="s">
        <v>466</v>
      </c>
      <c r="I61" s="66"/>
      <c r="J61" s="66" t="s">
        <v>421</v>
      </c>
      <c r="K61" s="176" t="s">
        <v>443</v>
      </c>
      <c r="L61" s="176"/>
      <c r="M61" s="66" t="s">
        <v>764</v>
      </c>
      <c r="N61" s="214" t="s">
        <v>765</v>
      </c>
      <c r="O61" s="66"/>
      <c r="P61" s="95" t="s">
        <v>559</v>
      </c>
      <c r="Q61" s="153" t="s">
        <v>766</v>
      </c>
      <c r="R61" s="158"/>
      <c r="S61" s="66" t="s">
        <v>449</v>
      </c>
      <c r="T61" s="66" t="s">
        <v>498</v>
      </c>
      <c r="U61" s="66" t="s">
        <v>473</v>
      </c>
      <c r="V61" s="66" t="s">
        <v>474</v>
      </c>
      <c r="W61" s="66">
        <v>51433</v>
      </c>
      <c r="X61" s="66" t="s">
        <v>767</v>
      </c>
      <c r="Y61" s="66" t="s">
        <v>96</v>
      </c>
      <c r="Z61" s="66">
        <v>0.2</v>
      </c>
      <c r="AA61" s="66"/>
      <c r="AB61" s="66" t="s">
        <v>768</v>
      </c>
      <c r="AC61" s="66"/>
    </row>
    <row r="62" spans="1:29" s="67" customFormat="1">
      <c r="A62" s="65">
        <f>VLOOKUP(B62,'서비스 Master'!$C$4:$D$62,2,FALSE)</f>
        <v>28</v>
      </c>
      <c r="B62" s="66" t="s">
        <v>251</v>
      </c>
      <c r="C62" s="65" t="str">
        <f>VLOOKUP(B62,'서비스 Master'!$C$4:$P$62,14,FALSE)</f>
        <v>명진</v>
      </c>
      <c r="D62" s="65" t="str">
        <f>VLOOKUP(B62,'서비스 Master'!$C$4:$P$62,10,FALSE)</f>
        <v>이인</v>
      </c>
      <c r="E62" s="65" t="str">
        <f>VLOOKUP(B62,'서비스 Master'!$C$4:$P$62,11,FALSE)</f>
        <v>김소영/황영주</v>
      </c>
      <c r="F62" s="66" t="s">
        <v>97</v>
      </c>
      <c r="G62" s="66" t="s">
        <v>457</v>
      </c>
      <c r="H62" s="66" t="s">
        <v>466</v>
      </c>
      <c r="I62" s="66"/>
      <c r="J62" s="66" t="s">
        <v>421</v>
      </c>
      <c r="K62" s="176" t="s">
        <v>443</v>
      </c>
      <c r="L62" s="176"/>
      <c r="M62" s="66" t="s">
        <v>769</v>
      </c>
      <c r="N62" s="214" t="s">
        <v>770</v>
      </c>
      <c r="O62" s="66"/>
      <c r="P62" s="95" t="s">
        <v>559</v>
      </c>
      <c r="Q62" s="153" t="s">
        <v>771</v>
      </c>
      <c r="R62" s="123"/>
      <c r="S62" s="66" t="s">
        <v>449</v>
      </c>
      <c r="T62" s="66" t="s">
        <v>498</v>
      </c>
      <c r="U62" s="66" t="s">
        <v>503</v>
      </c>
      <c r="V62" s="66" t="s">
        <v>490</v>
      </c>
      <c r="W62" s="66">
        <v>51433</v>
      </c>
      <c r="X62" s="66" t="s">
        <v>772</v>
      </c>
      <c r="Y62" s="66" t="s">
        <v>96</v>
      </c>
      <c r="Z62" s="66">
        <v>0.1</v>
      </c>
      <c r="AA62" s="66"/>
      <c r="AB62" s="66" t="s">
        <v>773</v>
      </c>
      <c r="AC62" s="66"/>
    </row>
    <row r="63" spans="1:29" s="67" customFormat="1">
      <c r="A63" s="65">
        <f>VLOOKUP(B63,'서비스 Master'!$C$4:$D$62,2,FALSE)</f>
        <v>28</v>
      </c>
      <c r="B63" s="66" t="s">
        <v>251</v>
      </c>
      <c r="C63" s="65" t="str">
        <f>VLOOKUP(B63,'서비스 Master'!$C$4:$P$62,14,FALSE)</f>
        <v>명진</v>
      </c>
      <c r="D63" s="65" t="str">
        <f>VLOOKUP(B63,'서비스 Master'!$C$4:$P$62,10,FALSE)</f>
        <v>이인</v>
      </c>
      <c r="E63" s="65" t="str">
        <f>VLOOKUP(B63,'서비스 Master'!$C$4:$P$62,11,FALSE)</f>
        <v>김소영/황영주</v>
      </c>
      <c r="F63" s="66" t="s">
        <v>97</v>
      </c>
      <c r="G63" s="66" t="s">
        <v>440</v>
      </c>
      <c r="H63" s="66" t="s">
        <v>466</v>
      </c>
      <c r="I63" s="66"/>
      <c r="J63" s="66" t="s">
        <v>421</v>
      </c>
      <c r="K63" s="176" t="s">
        <v>443</v>
      </c>
      <c r="L63" s="176"/>
      <c r="M63" s="66" t="s">
        <v>774</v>
      </c>
      <c r="N63" s="214" t="s">
        <v>775</v>
      </c>
      <c r="O63" s="66"/>
      <c r="P63" s="95" t="s">
        <v>559</v>
      </c>
      <c r="Q63" s="153" t="s">
        <v>766</v>
      </c>
      <c r="R63" s="158"/>
      <c r="S63" s="66" t="s">
        <v>449</v>
      </c>
      <c r="T63" s="66" t="s">
        <v>498</v>
      </c>
      <c r="U63" s="66" t="s">
        <v>473</v>
      </c>
      <c r="V63" s="66" t="s">
        <v>474</v>
      </c>
      <c r="W63" s="66">
        <v>51433</v>
      </c>
      <c r="X63" s="66" t="s">
        <v>776</v>
      </c>
      <c r="Y63" s="66" t="s">
        <v>96</v>
      </c>
      <c r="Z63" s="66">
        <v>0.4</v>
      </c>
      <c r="AA63" s="66"/>
      <c r="AB63" s="66" t="s">
        <v>777</v>
      </c>
      <c r="AC63" s="66"/>
    </row>
    <row r="64" spans="1:29" s="67" customFormat="1">
      <c r="A64" s="65">
        <f>VLOOKUP(B64,'서비스 Master'!$C$4:$D$62,2,FALSE)</f>
        <v>28</v>
      </c>
      <c r="B64" s="66" t="s">
        <v>251</v>
      </c>
      <c r="C64" s="65" t="str">
        <f>VLOOKUP(B64,'서비스 Master'!$C$4:$P$62,14,FALSE)</f>
        <v>명진</v>
      </c>
      <c r="D64" s="65" t="str">
        <f>VLOOKUP(B64,'서비스 Master'!$C$4:$P$62,10,FALSE)</f>
        <v>이인</v>
      </c>
      <c r="E64" s="65" t="str">
        <f>VLOOKUP(B64,'서비스 Master'!$C$4:$P$62,11,FALSE)</f>
        <v>김소영/황영주</v>
      </c>
      <c r="F64" s="66" t="s">
        <v>97</v>
      </c>
      <c r="G64" s="66" t="s">
        <v>457</v>
      </c>
      <c r="H64" s="66" t="s">
        <v>466</v>
      </c>
      <c r="I64" s="66"/>
      <c r="J64" s="66" t="s">
        <v>421</v>
      </c>
      <c r="K64" s="176" t="s">
        <v>443</v>
      </c>
      <c r="L64" s="176"/>
      <c r="M64" s="66" t="s">
        <v>778</v>
      </c>
      <c r="N64" s="214" t="s">
        <v>779</v>
      </c>
      <c r="O64" s="66"/>
      <c r="P64" s="155" t="s">
        <v>559</v>
      </c>
      <c r="Q64" s="153" t="s">
        <v>771</v>
      </c>
      <c r="R64" s="123"/>
      <c r="S64" s="66" t="s">
        <v>449</v>
      </c>
      <c r="T64" s="66" t="s">
        <v>498</v>
      </c>
      <c r="U64" s="66" t="s">
        <v>503</v>
      </c>
      <c r="V64" s="66" t="s">
        <v>490</v>
      </c>
      <c r="W64" s="66">
        <v>51433</v>
      </c>
      <c r="X64" s="66" t="s">
        <v>776</v>
      </c>
      <c r="Y64" s="66" t="s">
        <v>96</v>
      </c>
      <c r="Z64" s="66">
        <v>0</v>
      </c>
      <c r="AA64" s="66"/>
      <c r="AB64" s="66" t="s">
        <v>777</v>
      </c>
      <c r="AC64" s="66"/>
    </row>
    <row r="65" spans="1:29" s="67" customFormat="1">
      <c r="A65" s="65">
        <f>VLOOKUP(B65,'서비스 Master'!$C$4:$D$62,2,FALSE)</f>
        <v>29</v>
      </c>
      <c r="B65" s="66" t="s">
        <v>256</v>
      </c>
      <c r="C65" s="65" t="str">
        <f>VLOOKUP(B65,'서비스 Master'!$C$4:$P$62,14,FALSE)</f>
        <v>명진</v>
      </c>
      <c r="D65" s="65" t="str">
        <f>VLOOKUP(B65,'서비스 Master'!$C$4:$P$62,10,FALSE)</f>
        <v>이인</v>
      </c>
      <c r="E65" s="65" t="str">
        <f>VLOOKUP(B65,'서비스 Master'!$C$4:$P$62,11,FALSE)</f>
        <v>김민준</v>
      </c>
      <c r="F65" s="2" t="s">
        <v>97</v>
      </c>
      <c r="G65" s="66" t="s">
        <v>440</v>
      </c>
      <c r="H65" s="66" t="s">
        <v>466</v>
      </c>
      <c r="I65" s="66"/>
      <c r="J65" s="66" t="s">
        <v>421</v>
      </c>
      <c r="K65" s="176" t="s">
        <v>780</v>
      </c>
      <c r="L65" s="176" t="s">
        <v>781</v>
      </c>
      <c r="M65" s="66" t="s">
        <v>782</v>
      </c>
      <c r="N65" s="214" t="s">
        <v>783</v>
      </c>
      <c r="O65" s="66"/>
      <c r="P65" s="155" t="s">
        <v>784</v>
      </c>
      <c r="Q65" s="153" t="s">
        <v>785</v>
      </c>
      <c r="R65" s="158"/>
      <c r="S65" s="66" t="s">
        <v>449</v>
      </c>
      <c r="T65" s="66" t="s">
        <v>498</v>
      </c>
      <c r="U65" s="66" t="s">
        <v>473</v>
      </c>
      <c r="V65" s="66" t="s">
        <v>474</v>
      </c>
      <c r="W65" s="66">
        <v>51433</v>
      </c>
      <c r="X65" s="66" t="s">
        <v>786</v>
      </c>
      <c r="Y65" s="66" t="s">
        <v>96</v>
      </c>
      <c r="Z65" s="66">
        <v>41.5</v>
      </c>
      <c r="AA65" s="66"/>
      <c r="AB65" s="66" t="s">
        <v>440</v>
      </c>
      <c r="AC65" s="66"/>
    </row>
    <row r="66" spans="1:29" s="67" customFormat="1">
      <c r="A66" s="65">
        <f>VLOOKUP(B66,'서비스 Master'!$C$4:$D$62,2,FALSE)</f>
        <v>29</v>
      </c>
      <c r="B66" s="66" t="s">
        <v>256</v>
      </c>
      <c r="C66" s="65" t="str">
        <f>VLOOKUP(B66,'서비스 Master'!$C$4:$P$62,14,FALSE)</f>
        <v>명진</v>
      </c>
      <c r="D66" s="65" t="str">
        <f>VLOOKUP(B66,'서비스 Master'!$C$4:$P$62,10,FALSE)</f>
        <v>이인</v>
      </c>
      <c r="E66" s="65" t="str">
        <f>VLOOKUP(B66,'서비스 Master'!$C$4:$P$62,11,FALSE)</f>
        <v>김민준</v>
      </c>
      <c r="F66" s="2" t="s">
        <v>97</v>
      </c>
      <c r="G66" s="66" t="s">
        <v>457</v>
      </c>
      <c r="H66" s="66" t="s">
        <v>466</v>
      </c>
      <c r="I66" s="66"/>
      <c r="J66" s="66" t="s">
        <v>421</v>
      </c>
      <c r="K66" s="176" t="s">
        <v>780</v>
      </c>
      <c r="L66" s="176" t="s">
        <v>787</v>
      </c>
      <c r="M66" s="66" t="s">
        <v>788</v>
      </c>
      <c r="N66" s="214" t="s">
        <v>789</v>
      </c>
      <c r="O66" s="66"/>
      <c r="P66" s="155" t="s">
        <v>784</v>
      </c>
      <c r="Q66" s="153" t="s">
        <v>790</v>
      </c>
      <c r="R66" s="123"/>
      <c r="S66" s="66" t="s">
        <v>449</v>
      </c>
      <c r="T66" s="66" t="s">
        <v>498</v>
      </c>
      <c r="U66" s="66" t="s">
        <v>503</v>
      </c>
      <c r="V66" s="66" t="s">
        <v>490</v>
      </c>
      <c r="W66" s="66">
        <v>51433</v>
      </c>
      <c r="X66" s="66" t="s">
        <v>791</v>
      </c>
      <c r="Y66" s="66" t="s">
        <v>96</v>
      </c>
      <c r="Z66" s="66">
        <v>5.5</v>
      </c>
      <c r="AA66" s="66"/>
      <c r="AB66" s="66" t="s">
        <v>457</v>
      </c>
      <c r="AC66" s="66"/>
    </row>
    <row r="67" spans="1:29" s="67" customFormat="1">
      <c r="A67" s="65">
        <f>VLOOKUP(B67,'서비스 Master'!$C$4:$D$62,2,FALSE)</f>
        <v>29</v>
      </c>
      <c r="B67" s="66" t="s">
        <v>256</v>
      </c>
      <c r="C67" s="65" t="str">
        <f>VLOOKUP(B67,'서비스 Master'!$C$4:$P$62,14,FALSE)</f>
        <v>명진</v>
      </c>
      <c r="D67" s="65" t="str">
        <f>VLOOKUP(B67,'서비스 Master'!$C$4:$P$62,10,FALSE)</f>
        <v>이인</v>
      </c>
      <c r="E67" s="65" t="str">
        <f>VLOOKUP(B67,'서비스 Master'!$C$4:$P$62,11,FALSE)</f>
        <v>김민준</v>
      </c>
      <c r="F67" s="2" t="s">
        <v>97</v>
      </c>
      <c r="G67" s="66" t="s">
        <v>440</v>
      </c>
      <c r="H67" s="66" t="s">
        <v>466</v>
      </c>
      <c r="I67" s="66"/>
      <c r="J67" s="66" t="s">
        <v>479</v>
      </c>
      <c r="K67" s="176" t="s">
        <v>780</v>
      </c>
      <c r="L67" s="176"/>
      <c r="M67" s="66" t="s">
        <v>792</v>
      </c>
      <c r="N67" s="214" t="s">
        <v>793</v>
      </c>
      <c r="O67" s="66"/>
      <c r="P67" s="155" t="s">
        <v>784</v>
      </c>
      <c r="Q67" s="153" t="s">
        <v>794</v>
      </c>
      <c r="R67" s="158"/>
      <c r="S67" s="66" t="s">
        <v>449</v>
      </c>
      <c r="T67" s="66" t="s">
        <v>498</v>
      </c>
      <c r="U67" s="66"/>
      <c r="V67" s="66"/>
      <c r="W67" s="66"/>
      <c r="X67" s="66"/>
      <c r="Y67" s="66"/>
      <c r="Z67" s="66"/>
      <c r="AA67" s="66"/>
      <c r="AB67" s="66" t="s">
        <v>795</v>
      </c>
      <c r="AC67" s="66"/>
    </row>
    <row r="68" spans="1:29" s="67" customFormat="1">
      <c r="A68" s="65">
        <f>VLOOKUP(B68,'서비스 Master'!$C$4:$D$62,2,FALSE)</f>
        <v>29</v>
      </c>
      <c r="B68" s="66" t="s">
        <v>256</v>
      </c>
      <c r="C68" s="65" t="str">
        <f>VLOOKUP(B68,'서비스 Master'!$C$4:$P$62,14,FALSE)</f>
        <v>명진</v>
      </c>
      <c r="D68" s="65" t="str">
        <f>VLOOKUP(B68,'서비스 Master'!$C$4:$P$62,10,FALSE)</f>
        <v>이인</v>
      </c>
      <c r="E68" s="65" t="str">
        <f>VLOOKUP(B68,'서비스 Master'!$C$4:$P$62,11,FALSE)</f>
        <v>김민준</v>
      </c>
      <c r="F68" s="2" t="s">
        <v>97</v>
      </c>
      <c r="G68" s="66" t="s">
        <v>457</v>
      </c>
      <c r="H68" s="66" t="s">
        <v>466</v>
      </c>
      <c r="I68" s="66"/>
      <c r="J68" s="66" t="s">
        <v>479</v>
      </c>
      <c r="K68" s="176" t="s">
        <v>780</v>
      </c>
      <c r="L68" s="176"/>
      <c r="M68" s="66" t="s">
        <v>796</v>
      </c>
      <c r="N68" s="66" t="s">
        <v>797</v>
      </c>
      <c r="O68" s="66"/>
      <c r="P68" s="155" t="s">
        <v>784</v>
      </c>
      <c r="Q68" s="153" t="s">
        <v>798</v>
      </c>
      <c r="R68" s="123"/>
      <c r="S68" s="66" t="s">
        <v>449</v>
      </c>
      <c r="T68" s="66" t="s">
        <v>498</v>
      </c>
      <c r="U68" s="66"/>
      <c r="V68" s="66"/>
      <c r="W68" s="66"/>
      <c r="X68" s="66"/>
      <c r="Y68" s="66"/>
      <c r="Z68" s="66"/>
      <c r="AA68" s="66"/>
      <c r="AB68" s="66" t="s">
        <v>799</v>
      </c>
      <c r="AC68" s="66"/>
    </row>
    <row r="69" spans="1:29" s="67" customFormat="1">
      <c r="A69" s="65">
        <f>VLOOKUP(B69,'서비스 Master'!$C$4:$D$62,2,FALSE)</f>
        <v>30</v>
      </c>
      <c r="B69" s="66" t="s">
        <v>800</v>
      </c>
      <c r="C69" s="65" t="str">
        <f>VLOOKUP(B69,'서비스 Master'!$C$4:$P$62,14,FALSE)</f>
        <v>명진</v>
      </c>
      <c r="D69" s="65" t="str">
        <f>VLOOKUP(B69,'서비스 Master'!$C$4:$P$62,10,FALSE)</f>
        <v>이인</v>
      </c>
      <c r="E69" s="65" t="str">
        <f>VLOOKUP(B69,'서비스 Master'!$C$4:$P$62,11,FALSE)</f>
        <v>박우선</v>
      </c>
      <c r="F69" s="2" t="s">
        <v>97</v>
      </c>
      <c r="G69" s="66" t="s">
        <v>440</v>
      </c>
      <c r="H69" s="66" t="s">
        <v>466</v>
      </c>
      <c r="I69" s="66"/>
      <c r="J69" s="66" t="s">
        <v>493</v>
      </c>
      <c r="K69" s="176"/>
      <c r="L69" s="176"/>
      <c r="M69" s="66"/>
      <c r="N69" s="66"/>
      <c r="O69" s="66"/>
      <c r="P69" s="155"/>
      <c r="Q69" s="129"/>
      <c r="R69" s="158"/>
      <c r="S69" s="66"/>
      <c r="T69" s="66"/>
      <c r="U69" s="66" t="s">
        <v>801</v>
      </c>
      <c r="V69" s="66" t="s">
        <v>802</v>
      </c>
      <c r="W69" s="66">
        <v>33817</v>
      </c>
      <c r="X69" s="66" t="s">
        <v>803</v>
      </c>
      <c r="Y69" s="66" t="s">
        <v>96</v>
      </c>
      <c r="Z69" s="66">
        <v>3.2</v>
      </c>
      <c r="AA69" s="66"/>
      <c r="AB69" s="66"/>
      <c r="AC69" s="66"/>
    </row>
    <row r="70" spans="1:29" s="67" customFormat="1">
      <c r="A70" s="65">
        <f>VLOOKUP(B70,'서비스 Master'!$C$4:$D$62,2,FALSE)</f>
        <v>31</v>
      </c>
      <c r="B70" s="66" t="s">
        <v>266</v>
      </c>
      <c r="C70" s="65" t="str">
        <f>VLOOKUP(B70,'서비스 Master'!$C$4:$P$62,14,FALSE)</f>
        <v>명진</v>
      </c>
      <c r="D70" s="65" t="str">
        <f>VLOOKUP(B70,'서비스 Master'!$C$4:$P$62,10,FALSE)</f>
        <v>이인</v>
      </c>
      <c r="E70" s="65" t="str">
        <f>VLOOKUP(B70,'서비스 Master'!$C$4:$P$62,11,FALSE)</f>
        <v>이상민</v>
      </c>
      <c r="F70" s="2" t="s">
        <v>97</v>
      </c>
      <c r="G70" s="66" t="s">
        <v>440</v>
      </c>
      <c r="H70" s="66" t="s">
        <v>466</v>
      </c>
      <c r="I70" s="66"/>
      <c r="J70" s="66" t="s">
        <v>493</v>
      </c>
      <c r="K70" s="176" t="s">
        <v>780</v>
      </c>
      <c r="L70" s="176" t="s">
        <v>781</v>
      </c>
      <c r="M70" s="66" t="s">
        <v>804</v>
      </c>
      <c r="N70" s="214" t="s">
        <v>783</v>
      </c>
      <c r="O70" s="66">
        <v>9783</v>
      </c>
      <c r="P70" s="155" t="s">
        <v>470</v>
      </c>
      <c r="Q70" s="153" t="s">
        <v>785</v>
      </c>
      <c r="R70" s="158"/>
      <c r="S70" s="66" t="s">
        <v>449</v>
      </c>
      <c r="T70" s="66" t="s">
        <v>498</v>
      </c>
      <c r="U70" s="66" t="s">
        <v>473</v>
      </c>
      <c r="V70" s="66" t="s">
        <v>474</v>
      </c>
      <c r="W70" s="66">
        <v>51433</v>
      </c>
      <c r="X70" s="66" t="s">
        <v>805</v>
      </c>
      <c r="Y70" s="66" t="s">
        <v>96</v>
      </c>
      <c r="Z70" s="66">
        <v>6.1</v>
      </c>
      <c r="AA70" s="66"/>
      <c r="AB70" s="66"/>
      <c r="AC70" s="66"/>
    </row>
    <row r="71" spans="1:29" s="67" customFormat="1">
      <c r="A71" s="65">
        <f>VLOOKUP(B71,'서비스 Master'!$C$4:$D$62,2,FALSE)</f>
        <v>31</v>
      </c>
      <c r="B71" s="66" t="s">
        <v>266</v>
      </c>
      <c r="C71" s="65" t="str">
        <f>VLOOKUP(B71,'서비스 Master'!$C$4:$P$62,14,FALSE)</f>
        <v>명진</v>
      </c>
      <c r="D71" s="65" t="str">
        <f>VLOOKUP(B71,'서비스 Master'!$C$4:$P$62,10,FALSE)</f>
        <v>이인</v>
      </c>
      <c r="E71" s="65" t="str">
        <f>VLOOKUP(B71,'서비스 Master'!$C$4:$P$62,11,FALSE)</f>
        <v>이상민</v>
      </c>
      <c r="F71" s="2" t="s">
        <v>97</v>
      </c>
      <c r="G71" s="66" t="s">
        <v>457</v>
      </c>
      <c r="H71" s="66" t="s">
        <v>466</v>
      </c>
      <c r="I71" s="66"/>
      <c r="J71" s="66" t="s">
        <v>493</v>
      </c>
      <c r="K71" s="176" t="s">
        <v>780</v>
      </c>
      <c r="L71" s="176" t="s">
        <v>806</v>
      </c>
      <c r="M71" s="66" t="s">
        <v>807</v>
      </c>
      <c r="N71" s="214" t="s">
        <v>789</v>
      </c>
      <c r="O71" s="66">
        <v>9783</v>
      </c>
      <c r="P71" s="155" t="s">
        <v>470</v>
      </c>
      <c r="Q71" s="120" t="s">
        <v>790</v>
      </c>
      <c r="R71" s="123"/>
      <c r="S71" s="66" t="s">
        <v>449</v>
      </c>
      <c r="T71" s="66" t="s">
        <v>498</v>
      </c>
      <c r="U71" s="66" t="s">
        <v>503</v>
      </c>
      <c r="V71" s="66" t="s">
        <v>490</v>
      </c>
      <c r="W71" s="66">
        <v>51433</v>
      </c>
      <c r="X71" s="66" t="s">
        <v>808</v>
      </c>
      <c r="Y71" s="66" t="s">
        <v>96</v>
      </c>
      <c r="Z71" s="66">
        <v>1.8</v>
      </c>
      <c r="AA71" s="66"/>
      <c r="AB71" s="66"/>
      <c r="AC71" s="66"/>
    </row>
    <row r="72" spans="1:29" s="67" customFormat="1" ht="16.5">
      <c r="A72" s="65">
        <f>VLOOKUP(B72,'서비스 Master'!$C$4:$D$62,2,FALSE)</f>
        <v>32</v>
      </c>
      <c r="B72" s="66" t="s">
        <v>273</v>
      </c>
      <c r="C72" s="65" t="str">
        <f>VLOOKUP(B72,'서비스 Master'!$C$4:$P$62,14,FALSE)</f>
        <v>명진</v>
      </c>
      <c r="D72" s="65" t="str">
        <f>VLOOKUP(B72,'서비스 Master'!$C$4:$P$62,10,FALSE)</f>
        <v>이인</v>
      </c>
      <c r="E72" s="65" t="str">
        <f>VLOOKUP(B72,'서비스 Master'!$C$4:$P$62,11,FALSE)</f>
        <v>김학준/이기석</v>
      </c>
      <c r="F72" s="2" t="s">
        <v>97</v>
      </c>
      <c r="G72" s="66" t="s">
        <v>440</v>
      </c>
      <c r="H72" s="66" t="s">
        <v>466</v>
      </c>
      <c r="I72" s="66"/>
      <c r="J72" s="66" t="s">
        <v>421</v>
      </c>
      <c r="K72" s="176" t="s">
        <v>809</v>
      </c>
      <c r="L72" s="176" t="s">
        <v>810</v>
      </c>
      <c r="M72" s="66" t="s">
        <v>811</v>
      </c>
      <c r="N72" s="214" t="s">
        <v>812</v>
      </c>
      <c r="O72" s="66">
        <v>3389</v>
      </c>
      <c r="P72" s="155" t="s">
        <v>470</v>
      </c>
      <c r="Q72" s="222" t="s">
        <v>813</v>
      </c>
      <c r="R72" s="158"/>
      <c r="S72" s="66" t="s">
        <v>449</v>
      </c>
      <c r="T72" s="66" t="s">
        <v>498</v>
      </c>
      <c r="U72" s="66" t="s">
        <v>473</v>
      </c>
      <c r="V72" s="66" t="s">
        <v>474</v>
      </c>
      <c r="W72" s="66">
        <v>51433</v>
      </c>
      <c r="X72" s="66" t="s">
        <v>814</v>
      </c>
      <c r="Y72" s="66" t="s">
        <v>96</v>
      </c>
      <c r="Z72" s="66">
        <v>7.7</v>
      </c>
      <c r="AA72" s="66"/>
      <c r="AB72" s="66"/>
      <c r="AC72" s="66"/>
    </row>
    <row r="73" spans="1:29" s="67" customFormat="1">
      <c r="A73" s="65">
        <f>VLOOKUP(B73,'서비스 Master'!$C$4:$D$62,2,FALSE)</f>
        <v>32</v>
      </c>
      <c r="B73" s="66" t="s">
        <v>273</v>
      </c>
      <c r="C73" s="65" t="str">
        <f>VLOOKUP(B73,'서비스 Master'!$C$4:$P$62,14,FALSE)</f>
        <v>명진</v>
      </c>
      <c r="D73" s="65" t="str">
        <f>VLOOKUP(B73,'서비스 Master'!$C$4:$P$62,10,FALSE)</f>
        <v>이인</v>
      </c>
      <c r="E73" s="65" t="str">
        <f>VLOOKUP(B73,'서비스 Master'!$C$4:$P$62,11,FALSE)</f>
        <v>김학준/이기석</v>
      </c>
      <c r="F73" s="2" t="s">
        <v>97</v>
      </c>
      <c r="G73" s="66" t="s">
        <v>457</v>
      </c>
      <c r="H73" s="66" t="s">
        <v>466</v>
      </c>
      <c r="I73" s="66"/>
      <c r="J73" s="66" t="s">
        <v>421</v>
      </c>
      <c r="K73" s="176" t="s">
        <v>815</v>
      </c>
      <c r="L73" s="176" t="s">
        <v>816</v>
      </c>
      <c r="M73" s="66" t="s">
        <v>817</v>
      </c>
      <c r="N73" s="214" t="s">
        <v>818</v>
      </c>
      <c r="O73" s="66">
        <v>53389</v>
      </c>
      <c r="P73" s="155" t="s">
        <v>470</v>
      </c>
      <c r="Q73" s="153" t="s">
        <v>819</v>
      </c>
      <c r="R73" s="163"/>
      <c r="S73" s="66" t="s">
        <v>449</v>
      </c>
      <c r="T73" s="66" t="s">
        <v>498</v>
      </c>
      <c r="U73" s="66" t="s">
        <v>503</v>
      </c>
      <c r="V73" s="66" t="s">
        <v>490</v>
      </c>
      <c r="W73" s="66">
        <v>51433</v>
      </c>
      <c r="X73" s="66" t="s">
        <v>814</v>
      </c>
      <c r="Y73" s="66" t="s">
        <v>96</v>
      </c>
      <c r="Z73" s="66">
        <v>1.3</v>
      </c>
      <c r="AA73" s="66"/>
      <c r="AB73" s="66"/>
      <c r="AC73" s="66"/>
    </row>
    <row r="74" spans="1:29">
      <c r="A74" s="61">
        <f>VLOOKUP(B74,'서비스 Master'!$C$4:$D$62,2,FALSE)</f>
        <v>33</v>
      </c>
      <c r="B74" s="2" t="s">
        <v>280</v>
      </c>
      <c r="C74" s="61" t="str">
        <f>VLOOKUP(B74,'서비스 Master'!$C$4:$P$62,14,FALSE)</f>
        <v>김햇빛</v>
      </c>
      <c r="D74" s="61" t="str">
        <f>VLOOKUP(B74,'서비스 Master'!$C$4:$P$62,10,FALSE)</f>
        <v>이용재</v>
      </c>
      <c r="E74" s="61" t="str">
        <f>VLOOKUP(B74,'서비스 Master'!$C$4:$P$62,11,FALSE)</f>
        <v>우은정</v>
      </c>
      <c r="F74" s="2" t="s">
        <v>97</v>
      </c>
      <c r="G74" s="2" t="s">
        <v>440</v>
      </c>
      <c r="H74" s="2" t="s">
        <v>466</v>
      </c>
      <c r="I74" s="2"/>
      <c r="J74" s="2" t="s">
        <v>421</v>
      </c>
      <c r="K74" s="173" t="s">
        <v>820</v>
      </c>
      <c r="L74" s="173" t="s">
        <v>821</v>
      </c>
      <c r="M74" s="2" t="s">
        <v>822</v>
      </c>
      <c r="N74" s="212" t="s">
        <v>823</v>
      </c>
      <c r="O74" s="106" t="s">
        <v>824</v>
      </c>
      <c r="P74" s="155" t="s">
        <v>470</v>
      </c>
      <c r="Q74" s="153" t="s">
        <v>825</v>
      </c>
      <c r="R74" s="158"/>
      <c r="S74" s="2" t="s">
        <v>449</v>
      </c>
      <c r="T74" s="2" t="s">
        <v>498</v>
      </c>
      <c r="U74" s="2" t="s">
        <v>473</v>
      </c>
      <c r="V74" s="2" t="s">
        <v>474</v>
      </c>
      <c r="W74" s="2">
        <v>51433</v>
      </c>
      <c r="X74" s="2" t="s">
        <v>826</v>
      </c>
      <c r="Y74" s="2" t="s">
        <v>96</v>
      </c>
      <c r="Z74" s="2">
        <v>22.3</v>
      </c>
      <c r="AA74" s="2"/>
      <c r="AB74" s="2" t="s">
        <v>562</v>
      </c>
      <c r="AC74" s="2"/>
    </row>
    <row r="75" spans="1:29">
      <c r="A75" s="61">
        <f>VLOOKUP(B75,'서비스 Master'!$C$4:$D$62,2,FALSE)</f>
        <v>33</v>
      </c>
      <c r="B75" s="2" t="s">
        <v>280</v>
      </c>
      <c r="C75" s="61" t="str">
        <f>VLOOKUP(B75,'서비스 Master'!$C$4:$P$62,14,FALSE)</f>
        <v>김햇빛</v>
      </c>
      <c r="D75" s="61" t="str">
        <f>VLOOKUP(B75,'서비스 Master'!$C$4:$P$62,10,FALSE)</f>
        <v>이용재</v>
      </c>
      <c r="E75" s="61" t="str">
        <f>VLOOKUP(B75,'서비스 Master'!$C$4:$P$62,11,FALSE)</f>
        <v>우은정</v>
      </c>
      <c r="F75" s="2" t="s">
        <v>97</v>
      </c>
      <c r="G75" s="2" t="s">
        <v>457</v>
      </c>
      <c r="H75" s="2" t="s">
        <v>466</v>
      </c>
      <c r="I75" s="2"/>
      <c r="J75" s="2" t="s">
        <v>421</v>
      </c>
      <c r="K75" s="173" t="s">
        <v>578</v>
      </c>
      <c r="L75" s="173" t="s">
        <v>821</v>
      </c>
      <c r="M75" s="2" t="s">
        <v>827</v>
      </c>
      <c r="N75" s="212" t="s">
        <v>828</v>
      </c>
      <c r="O75" s="106" t="s">
        <v>829</v>
      </c>
      <c r="P75" s="155" t="s">
        <v>470</v>
      </c>
      <c r="Q75" s="153" t="s">
        <v>830</v>
      </c>
      <c r="R75" s="159"/>
      <c r="S75" s="2" t="s">
        <v>449</v>
      </c>
      <c r="T75" s="2" t="s">
        <v>498</v>
      </c>
      <c r="U75" s="2" t="s">
        <v>503</v>
      </c>
      <c r="V75" s="2" t="s">
        <v>490</v>
      </c>
      <c r="W75" s="2">
        <v>51433</v>
      </c>
      <c r="X75" s="2" t="s">
        <v>826</v>
      </c>
      <c r="Y75" s="2" t="s">
        <v>96</v>
      </c>
      <c r="Z75" s="2">
        <v>22.7</v>
      </c>
      <c r="AA75" s="2"/>
      <c r="AB75" s="2" t="s">
        <v>562</v>
      </c>
      <c r="AC75" s="2"/>
    </row>
    <row r="76" spans="1:29" s="60" customFormat="1">
      <c r="A76" s="59">
        <f>VLOOKUP(B76,'서비스 Master'!$C$4:$D$62,2,FALSE)</f>
        <v>34</v>
      </c>
      <c r="B76" s="53" t="s">
        <v>286</v>
      </c>
      <c r="C76" s="59" t="str">
        <f>VLOOKUP(B76,'서비스 Master'!$C$4:$P$62,14,FALSE)</f>
        <v>김햇빛</v>
      </c>
      <c r="D76" s="59" t="str">
        <f>VLOOKUP(B76,'서비스 Master'!$C$4:$P$62,10,FALSE)</f>
        <v>이인</v>
      </c>
      <c r="E76" s="59" t="str">
        <f>VLOOKUP(B76,'서비스 Master'!$C$4:$P$62,11,FALSE)</f>
        <v>최용진</v>
      </c>
      <c r="F76" s="53" t="s">
        <v>636</v>
      </c>
      <c r="G76" s="53"/>
      <c r="H76" s="53" t="s">
        <v>661</v>
      </c>
      <c r="I76" s="53"/>
      <c r="J76" s="53"/>
      <c r="K76" s="175"/>
      <c r="L76" s="175"/>
      <c r="M76" s="53" t="s">
        <v>831</v>
      </c>
      <c r="N76" s="53" t="s">
        <v>832</v>
      </c>
      <c r="O76" s="53"/>
      <c r="P76" s="157" t="s">
        <v>640</v>
      </c>
      <c r="Q76" s="154"/>
      <c r="R76" s="158"/>
      <c r="S76" s="53"/>
      <c r="T76" s="53"/>
      <c r="U76" s="53" t="s">
        <v>833</v>
      </c>
      <c r="V76" s="53" t="s">
        <v>452</v>
      </c>
      <c r="W76" s="53"/>
      <c r="X76" s="53" t="s">
        <v>834</v>
      </c>
      <c r="Y76" s="53"/>
      <c r="Z76" s="53"/>
      <c r="AA76" s="53"/>
      <c r="AB76" s="53" t="s">
        <v>835</v>
      </c>
      <c r="AC76" s="53"/>
    </row>
    <row r="77" spans="1:29" ht="16.5">
      <c r="A77" s="61">
        <f>VLOOKUP(B77,'서비스 Master'!$C$4:$D$62,2,FALSE)</f>
        <v>35</v>
      </c>
      <c r="B77" s="2" t="s">
        <v>290</v>
      </c>
      <c r="C77" s="61" t="str">
        <f>VLOOKUP(B77,'서비스 Master'!$C$4:$P$62,14,FALSE)</f>
        <v>김햇빛</v>
      </c>
      <c r="D77" s="61" t="str">
        <f>VLOOKUP(B77,'서비스 Master'!$C$4:$P$62,10,FALSE)</f>
        <v>이용재</v>
      </c>
      <c r="E77" s="61" t="str">
        <f>VLOOKUP(B77,'서비스 Master'!$C$4:$P$62,11,FALSE)</f>
        <v>이대현</v>
      </c>
      <c r="F77" s="2" t="s">
        <v>97</v>
      </c>
      <c r="G77" s="2" t="s">
        <v>440</v>
      </c>
      <c r="H77" s="2" t="s">
        <v>466</v>
      </c>
      <c r="I77" s="2"/>
      <c r="J77" s="2" t="s">
        <v>421</v>
      </c>
      <c r="K77" s="173" t="s">
        <v>836</v>
      </c>
      <c r="L77" s="173" t="s">
        <v>810</v>
      </c>
      <c r="M77" s="2" t="s">
        <v>837</v>
      </c>
      <c r="N77" s="212" t="s">
        <v>838</v>
      </c>
      <c r="O77" s="2">
        <v>443</v>
      </c>
      <c r="P77" s="155" t="s">
        <v>784</v>
      </c>
      <c r="Q77" s="153" t="s">
        <v>839</v>
      </c>
      <c r="R77"/>
      <c r="S77" s="2" t="s">
        <v>449</v>
      </c>
      <c r="T77" s="2" t="s">
        <v>498</v>
      </c>
      <c r="U77" s="2" t="s">
        <v>473</v>
      </c>
      <c r="V77" s="2" t="s">
        <v>474</v>
      </c>
      <c r="W77" s="2">
        <v>51433</v>
      </c>
      <c r="X77" s="2" t="s">
        <v>840</v>
      </c>
      <c r="Y77" s="2" t="s">
        <v>96</v>
      </c>
      <c r="Z77" s="2">
        <v>6.4</v>
      </c>
      <c r="AA77" s="2"/>
      <c r="AB77" s="2" t="s">
        <v>562</v>
      </c>
      <c r="AC77" s="2"/>
    </row>
    <row r="78" spans="1:29" ht="16.5">
      <c r="A78" s="61">
        <f>VLOOKUP(B78,'서비스 Master'!$C$4:$D$62,2,FALSE)</f>
        <v>35</v>
      </c>
      <c r="B78" s="2" t="s">
        <v>290</v>
      </c>
      <c r="C78" s="61" t="str">
        <f>VLOOKUP(B78,'서비스 Master'!$C$4:$P$62,14,FALSE)</f>
        <v>김햇빛</v>
      </c>
      <c r="D78" s="61" t="str">
        <f>VLOOKUP(B78,'서비스 Master'!$C$4:$P$62,10,FALSE)</f>
        <v>이용재</v>
      </c>
      <c r="E78" s="61" t="str">
        <f>VLOOKUP(B78,'서비스 Master'!$C$4:$P$62,11,FALSE)</f>
        <v>이대현</v>
      </c>
      <c r="F78" s="2" t="s">
        <v>97</v>
      </c>
      <c r="G78" s="2" t="s">
        <v>457</v>
      </c>
      <c r="H78" s="2" t="s">
        <v>466</v>
      </c>
      <c r="I78" s="2"/>
      <c r="J78" s="2" t="s">
        <v>421</v>
      </c>
      <c r="K78" s="173" t="s">
        <v>841</v>
      </c>
      <c r="L78" s="173" t="s">
        <v>816</v>
      </c>
      <c r="M78" s="2" t="s">
        <v>842</v>
      </c>
      <c r="N78" s="2" t="s">
        <v>843</v>
      </c>
      <c r="O78" s="2">
        <v>443</v>
      </c>
      <c r="P78" s="155" t="s">
        <v>784</v>
      </c>
      <c r="Q78" s="153" t="s">
        <v>844</v>
      </c>
      <c r="R78"/>
      <c r="S78" s="2" t="s">
        <v>449</v>
      </c>
      <c r="T78" s="2" t="s">
        <v>498</v>
      </c>
      <c r="U78" s="2" t="s">
        <v>503</v>
      </c>
      <c r="V78" s="2" t="s">
        <v>490</v>
      </c>
      <c r="W78" s="2">
        <v>51433</v>
      </c>
      <c r="X78" s="2" t="s">
        <v>840</v>
      </c>
      <c r="Y78" s="2" t="s">
        <v>96</v>
      </c>
      <c r="Z78" s="2">
        <v>6.4</v>
      </c>
      <c r="AA78" s="2"/>
      <c r="AB78" s="2" t="s">
        <v>562</v>
      </c>
      <c r="AC78" s="2"/>
    </row>
    <row r="79" spans="1:29" s="67" customFormat="1" ht="16.5">
      <c r="A79" s="65">
        <f>VLOOKUP(B79,'서비스 Master'!$C$4:$D$62,2,FALSE)</f>
        <v>36</v>
      </c>
      <c r="B79" s="66" t="s">
        <v>295</v>
      </c>
      <c r="C79" s="65" t="str">
        <f>VLOOKUP(B79,'서비스 Master'!$C$4:$P$62,14,FALSE)</f>
        <v>김햇빛</v>
      </c>
      <c r="D79" s="65" t="str">
        <f>VLOOKUP(B79,'서비스 Master'!$C$4:$P$62,10,FALSE)</f>
        <v>이용재</v>
      </c>
      <c r="E79" s="65" t="str">
        <f>VLOOKUP(B79,'서비스 Master'!$C$4:$P$62,11,FALSE)</f>
        <v>한만석</v>
      </c>
      <c r="F79" s="2" t="s">
        <v>97</v>
      </c>
      <c r="G79" s="66" t="s">
        <v>440</v>
      </c>
      <c r="H79" s="66" t="s">
        <v>661</v>
      </c>
      <c r="I79" s="66" t="s">
        <v>458</v>
      </c>
      <c r="J79" s="66" t="s">
        <v>421</v>
      </c>
      <c r="K79" s="176"/>
      <c r="L79" s="176" t="s">
        <v>845</v>
      </c>
      <c r="M79" s="66" t="s">
        <v>846</v>
      </c>
      <c r="N79" s="66" t="s">
        <v>847</v>
      </c>
      <c r="O79" s="66">
        <v>443</v>
      </c>
      <c r="P79" s="95" t="s">
        <v>470</v>
      </c>
      <c r="Q79" s="153" t="s">
        <v>848</v>
      </c>
      <c r="R79" s="158" t="s">
        <v>448</v>
      </c>
      <c r="S79" s="66" t="s">
        <v>449</v>
      </c>
      <c r="T79" s="66" t="s">
        <v>472</v>
      </c>
      <c r="U79" s="66" t="s">
        <v>451</v>
      </c>
      <c r="V79" s="66" t="s">
        <v>452</v>
      </c>
      <c r="W79" s="66">
        <v>51433</v>
      </c>
      <c r="X79" s="66" t="s">
        <v>849</v>
      </c>
      <c r="Y79" s="66" t="s">
        <v>73</v>
      </c>
      <c r="Z79" s="66">
        <v>2.8</v>
      </c>
      <c r="AA79" s="66" t="s">
        <v>454</v>
      </c>
      <c r="AB79" s="66" t="s">
        <v>850</v>
      </c>
      <c r="AC79" s="66" t="s">
        <v>851</v>
      </c>
    </row>
    <row r="80" spans="1:29" s="67" customFormat="1">
      <c r="A80" s="65">
        <f>VLOOKUP(B80,'서비스 Master'!$C$4:$D$62,2,FALSE)</f>
        <v>36</v>
      </c>
      <c r="B80" s="66" t="s">
        <v>295</v>
      </c>
      <c r="C80" s="65" t="str">
        <f>VLOOKUP(B80,'서비스 Master'!$C$4:$P$62,14,FALSE)</f>
        <v>김햇빛</v>
      </c>
      <c r="D80" s="65" t="str">
        <f>VLOOKUP(B80,'서비스 Master'!$C$4:$P$62,10,FALSE)</f>
        <v>이용재</v>
      </c>
      <c r="E80" s="65" t="str">
        <f>VLOOKUP(B80,'서비스 Master'!$C$4:$P$62,11,FALSE)</f>
        <v>한만석</v>
      </c>
      <c r="F80" s="2" t="s">
        <v>97</v>
      </c>
      <c r="G80" s="66" t="s">
        <v>457</v>
      </c>
      <c r="H80" s="66" t="s">
        <v>661</v>
      </c>
      <c r="I80" s="66" t="s">
        <v>458</v>
      </c>
      <c r="J80" s="66" t="s">
        <v>421</v>
      </c>
      <c r="K80" s="176"/>
      <c r="L80" s="176" t="s">
        <v>845</v>
      </c>
      <c r="M80" s="66" t="s">
        <v>852</v>
      </c>
      <c r="N80" s="66" t="s">
        <v>853</v>
      </c>
      <c r="O80" s="66">
        <v>443</v>
      </c>
      <c r="P80" s="95" t="s">
        <v>470</v>
      </c>
      <c r="Q80" s="153" t="s">
        <v>854</v>
      </c>
      <c r="R80" s="158" t="s">
        <v>448</v>
      </c>
      <c r="S80" s="66" t="s">
        <v>449</v>
      </c>
      <c r="T80" s="66" t="s">
        <v>472</v>
      </c>
      <c r="U80" s="66" t="s">
        <v>464</v>
      </c>
      <c r="V80" s="66" t="s">
        <v>465</v>
      </c>
      <c r="W80" s="66">
        <v>51433</v>
      </c>
      <c r="X80" s="66" t="s">
        <v>855</v>
      </c>
      <c r="Y80" s="66" t="s">
        <v>73</v>
      </c>
      <c r="Z80" s="66">
        <v>0.8</v>
      </c>
      <c r="AA80" s="66" t="s">
        <v>454</v>
      </c>
      <c r="AB80" s="66" t="s">
        <v>850</v>
      </c>
      <c r="AC80" s="66" t="s">
        <v>851</v>
      </c>
    </row>
    <row r="81" spans="1:29" s="67" customFormat="1">
      <c r="A81" s="65">
        <f>VLOOKUP(B81,'서비스 Master'!$C$4:$D$62,2,FALSE)</f>
        <v>37</v>
      </c>
      <c r="B81" s="66" t="s">
        <v>301</v>
      </c>
      <c r="C81" s="65" t="str">
        <f>VLOOKUP(B81,'서비스 Master'!$C$4:$P$62,14,FALSE)</f>
        <v>김햇빛</v>
      </c>
      <c r="D81" s="65" t="str">
        <f>VLOOKUP(B81,'서비스 Master'!$C$4:$P$62,10,FALSE)</f>
        <v>이용재</v>
      </c>
      <c r="E81" s="65" t="str">
        <f>VLOOKUP(B81,'서비스 Master'!$C$4:$P$62,11,FALSE)</f>
        <v>유민아</v>
      </c>
      <c r="F81" s="2" t="s">
        <v>97</v>
      </c>
      <c r="G81" s="66" t="s">
        <v>440</v>
      </c>
      <c r="H81" s="66" t="s">
        <v>466</v>
      </c>
      <c r="I81" s="66"/>
      <c r="J81" s="66" t="s">
        <v>421</v>
      </c>
      <c r="K81" s="176" t="s">
        <v>443</v>
      </c>
      <c r="L81" s="176"/>
      <c r="M81" s="66" t="s">
        <v>856</v>
      </c>
      <c r="N81" s="214" t="s">
        <v>857</v>
      </c>
      <c r="O81" s="66"/>
      <c r="P81" s="95" t="s">
        <v>470</v>
      </c>
      <c r="Q81" s="153" t="s">
        <v>858</v>
      </c>
      <c r="R81" s="158"/>
      <c r="S81" s="66" t="s">
        <v>449</v>
      </c>
      <c r="T81" s="66" t="s">
        <v>450</v>
      </c>
      <c r="U81" s="66" t="s">
        <v>473</v>
      </c>
      <c r="V81" s="66" t="s">
        <v>474</v>
      </c>
      <c r="W81" s="66">
        <v>51433</v>
      </c>
      <c r="X81" s="66" t="s">
        <v>859</v>
      </c>
      <c r="Y81" s="66" t="s">
        <v>96</v>
      </c>
      <c r="Z81" s="66">
        <v>29.5</v>
      </c>
      <c r="AA81" s="66"/>
      <c r="AB81" s="66" t="s">
        <v>562</v>
      </c>
      <c r="AC81" s="66"/>
    </row>
    <row r="82" spans="1:29" s="67" customFormat="1">
      <c r="A82" s="65">
        <f>VLOOKUP(B82,'서비스 Master'!$C$4:$D$62,2,FALSE)</f>
        <v>37</v>
      </c>
      <c r="B82" s="66" t="s">
        <v>301</v>
      </c>
      <c r="C82" s="65" t="str">
        <f>VLOOKUP(B82,'서비스 Master'!$C$4:$P$62,14,FALSE)</f>
        <v>김햇빛</v>
      </c>
      <c r="D82" s="65" t="str">
        <f>VLOOKUP(B82,'서비스 Master'!$C$4:$P$62,10,FALSE)</f>
        <v>이용재</v>
      </c>
      <c r="E82" s="65" t="str">
        <f>VLOOKUP(B82,'서비스 Master'!$C$4:$P$62,11,FALSE)</f>
        <v>유민아</v>
      </c>
      <c r="F82" s="2" t="s">
        <v>97</v>
      </c>
      <c r="G82" s="66" t="s">
        <v>457</v>
      </c>
      <c r="H82" s="66" t="s">
        <v>466</v>
      </c>
      <c r="I82" s="66"/>
      <c r="J82" s="66" t="s">
        <v>421</v>
      </c>
      <c r="K82" s="176" t="s">
        <v>443</v>
      </c>
      <c r="L82" s="176"/>
      <c r="M82" s="66" t="s">
        <v>860</v>
      </c>
      <c r="N82" s="214" t="s">
        <v>861</v>
      </c>
      <c r="O82" s="66">
        <v>443</v>
      </c>
      <c r="P82" s="95" t="s">
        <v>470</v>
      </c>
      <c r="Q82" s="153" t="s">
        <v>862</v>
      </c>
      <c r="R82" s="123"/>
      <c r="S82" s="66" t="s">
        <v>449</v>
      </c>
      <c r="T82" s="66" t="s">
        <v>450</v>
      </c>
      <c r="U82" s="66" t="s">
        <v>503</v>
      </c>
      <c r="V82" s="66" t="s">
        <v>490</v>
      </c>
      <c r="W82" s="66">
        <v>51433</v>
      </c>
      <c r="X82" s="66" t="s">
        <v>859</v>
      </c>
      <c r="Y82" s="66" t="s">
        <v>96</v>
      </c>
      <c r="Z82" s="66">
        <v>27.4</v>
      </c>
      <c r="AA82" s="66"/>
      <c r="AB82" s="66" t="s">
        <v>562</v>
      </c>
      <c r="AC82" s="66"/>
    </row>
    <row r="83" spans="1:29" s="67" customFormat="1">
      <c r="A83" s="65">
        <f>VLOOKUP(B83,'서비스 Master'!$C$4:$D$62,2,FALSE)</f>
        <v>39</v>
      </c>
      <c r="B83" s="66" t="s">
        <v>311</v>
      </c>
      <c r="C83" s="65" t="str">
        <f>VLOOKUP(B83,'서비스 Master'!$C$4:$P$62,14,FALSE)</f>
        <v>임준식</v>
      </c>
      <c r="D83" s="65" t="str">
        <f>VLOOKUP(B83,'서비스 Master'!$C$4:$P$62,10,FALSE)</f>
        <v>이용재</v>
      </c>
      <c r="E83" s="65" t="str">
        <f>VLOOKUP(B83,'서비스 Master'!$C$4:$P$62,11,FALSE)</f>
        <v>이재영</v>
      </c>
      <c r="F83" s="2" t="s">
        <v>97</v>
      </c>
      <c r="G83" s="66" t="s">
        <v>440</v>
      </c>
      <c r="H83" s="66" t="s">
        <v>661</v>
      </c>
      <c r="I83" s="66" t="s">
        <v>863</v>
      </c>
      <c r="J83" s="66" t="s">
        <v>421</v>
      </c>
      <c r="K83" s="176" t="s">
        <v>864</v>
      </c>
      <c r="L83" s="176" t="s">
        <v>845</v>
      </c>
      <c r="M83" s="66" t="s">
        <v>865</v>
      </c>
      <c r="N83" s="66" t="s">
        <v>866</v>
      </c>
      <c r="O83" s="66">
        <v>443</v>
      </c>
      <c r="P83" s="95" t="s">
        <v>470</v>
      </c>
      <c r="Q83" s="153" t="s">
        <v>867</v>
      </c>
      <c r="R83" s="158" t="s">
        <v>448</v>
      </c>
      <c r="S83" s="66" t="s">
        <v>449</v>
      </c>
      <c r="T83" s="66" t="s">
        <v>498</v>
      </c>
      <c r="U83" s="66" t="s">
        <v>451</v>
      </c>
      <c r="V83" s="66" t="s">
        <v>452</v>
      </c>
      <c r="W83" s="66">
        <v>51433</v>
      </c>
      <c r="X83" s="66" t="s">
        <v>868</v>
      </c>
      <c r="Y83" s="66" t="s">
        <v>73</v>
      </c>
      <c r="Z83" s="66">
        <v>22</v>
      </c>
      <c r="AA83" s="66" t="s">
        <v>454</v>
      </c>
      <c r="AB83" s="66" t="s">
        <v>869</v>
      </c>
      <c r="AC83" s="66" t="s">
        <v>870</v>
      </c>
    </row>
    <row r="84" spans="1:29" s="67" customFormat="1">
      <c r="A84" s="65">
        <f>VLOOKUP(B84,'서비스 Master'!$C$4:$D$62,2,FALSE)</f>
        <v>39</v>
      </c>
      <c r="B84" s="66" t="s">
        <v>311</v>
      </c>
      <c r="C84" s="65" t="str">
        <f>VLOOKUP(B84,'서비스 Master'!$C$4:$P$62,14,FALSE)</f>
        <v>임준식</v>
      </c>
      <c r="D84" s="65" t="str">
        <f>VLOOKUP(B84,'서비스 Master'!$C$4:$P$62,10,FALSE)</f>
        <v>이용재</v>
      </c>
      <c r="E84" s="65" t="str">
        <f>VLOOKUP(B84,'서비스 Master'!$C$4:$P$62,11,FALSE)</f>
        <v>이재영</v>
      </c>
      <c r="F84" s="2" t="s">
        <v>97</v>
      </c>
      <c r="G84" s="66" t="s">
        <v>457</v>
      </c>
      <c r="H84" s="66" t="s">
        <v>661</v>
      </c>
      <c r="I84" s="66" t="s">
        <v>863</v>
      </c>
      <c r="J84" s="66" t="s">
        <v>421</v>
      </c>
      <c r="K84" s="176" t="s">
        <v>864</v>
      </c>
      <c r="L84" s="176" t="s">
        <v>845</v>
      </c>
      <c r="M84" s="66" t="s">
        <v>871</v>
      </c>
      <c r="N84" s="66" t="s">
        <v>872</v>
      </c>
      <c r="O84" s="66">
        <v>443</v>
      </c>
      <c r="P84" s="95" t="s">
        <v>470</v>
      </c>
      <c r="Q84" s="153" t="s">
        <v>873</v>
      </c>
      <c r="R84" s="158" t="s">
        <v>448</v>
      </c>
      <c r="S84" s="66" t="s">
        <v>449</v>
      </c>
      <c r="T84" s="66" t="s">
        <v>498</v>
      </c>
      <c r="U84" s="66" t="s">
        <v>464</v>
      </c>
      <c r="V84" s="66" t="s">
        <v>465</v>
      </c>
      <c r="W84" s="66">
        <v>51433</v>
      </c>
      <c r="X84" s="66" t="s">
        <v>874</v>
      </c>
      <c r="Y84" s="66" t="s">
        <v>73</v>
      </c>
      <c r="Z84" s="66">
        <v>17.5</v>
      </c>
      <c r="AA84" s="66" t="s">
        <v>454</v>
      </c>
      <c r="AB84" s="66" t="s">
        <v>875</v>
      </c>
      <c r="AC84" s="66" t="s">
        <v>870</v>
      </c>
    </row>
    <row r="85" spans="1:29" s="67" customFormat="1">
      <c r="A85" s="65">
        <f>VLOOKUP(B85,'서비스 Master'!$C$4:$D$62,2,FALSE)</f>
        <v>39</v>
      </c>
      <c r="B85" s="66" t="s">
        <v>311</v>
      </c>
      <c r="C85" s="65" t="str">
        <f>VLOOKUP(B85,'서비스 Master'!$C$4:$P$62,14,FALSE)</f>
        <v>임준식</v>
      </c>
      <c r="D85" s="65" t="str">
        <f>VLOOKUP(B85,'서비스 Master'!$C$4:$P$62,10,FALSE)</f>
        <v>이용재</v>
      </c>
      <c r="E85" s="65" t="str">
        <f>VLOOKUP(B85,'서비스 Master'!$C$4:$P$62,11,FALSE)</f>
        <v>이재영</v>
      </c>
      <c r="F85" s="2" t="s">
        <v>97</v>
      </c>
      <c r="G85" s="66" t="s">
        <v>440</v>
      </c>
      <c r="H85" s="66" t="s">
        <v>661</v>
      </c>
      <c r="I85" s="66" t="s">
        <v>876</v>
      </c>
      <c r="J85" s="66" t="s">
        <v>421</v>
      </c>
      <c r="K85" s="176" t="s">
        <v>864</v>
      </c>
      <c r="L85" s="176" t="s">
        <v>845</v>
      </c>
      <c r="M85" s="66" t="s">
        <v>877</v>
      </c>
      <c r="N85" s="66" t="s">
        <v>878</v>
      </c>
      <c r="O85" s="66">
        <v>443</v>
      </c>
      <c r="P85" s="95" t="s">
        <v>470</v>
      </c>
      <c r="Q85" s="153" t="s">
        <v>879</v>
      </c>
      <c r="R85" s="158" t="s">
        <v>448</v>
      </c>
      <c r="S85" s="66" t="s">
        <v>449</v>
      </c>
      <c r="T85" s="66" t="s">
        <v>498</v>
      </c>
      <c r="U85" s="66" t="s">
        <v>451</v>
      </c>
      <c r="V85" s="66" t="s">
        <v>452</v>
      </c>
      <c r="W85" s="66">
        <v>51433</v>
      </c>
      <c r="X85" s="66" t="s">
        <v>868</v>
      </c>
      <c r="Y85" s="66" t="s">
        <v>73</v>
      </c>
      <c r="Z85" s="66">
        <v>22</v>
      </c>
      <c r="AA85" s="66" t="s">
        <v>454</v>
      </c>
      <c r="AB85" s="66" t="s">
        <v>880</v>
      </c>
      <c r="AC85" s="66" t="s">
        <v>870</v>
      </c>
    </row>
    <row r="86" spans="1:29" s="67" customFormat="1">
      <c r="A86" s="65">
        <f>VLOOKUP(B86,'서비스 Master'!$C$4:$D$62,2,FALSE)</f>
        <v>39</v>
      </c>
      <c r="B86" s="66" t="s">
        <v>311</v>
      </c>
      <c r="C86" s="65" t="str">
        <f>VLOOKUP(B86,'서비스 Master'!$C$4:$P$62,14,FALSE)</f>
        <v>임준식</v>
      </c>
      <c r="D86" s="65" t="str">
        <f>VLOOKUP(B86,'서비스 Master'!$C$4:$P$62,10,FALSE)</f>
        <v>이용재</v>
      </c>
      <c r="E86" s="65" t="str">
        <f>VLOOKUP(B86,'서비스 Master'!$C$4:$P$62,11,FALSE)</f>
        <v>이재영</v>
      </c>
      <c r="F86" s="2" t="s">
        <v>97</v>
      </c>
      <c r="G86" s="66" t="s">
        <v>457</v>
      </c>
      <c r="H86" s="66" t="s">
        <v>661</v>
      </c>
      <c r="I86" s="66" t="s">
        <v>863</v>
      </c>
      <c r="J86" s="66" t="s">
        <v>421</v>
      </c>
      <c r="K86" s="176" t="s">
        <v>864</v>
      </c>
      <c r="L86" s="176" t="s">
        <v>845</v>
      </c>
      <c r="M86" s="66" t="s">
        <v>881</v>
      </c>
      <c r="N86" s="66" t="s">
        <v>882</v>
      </c>
      <c r="O86" s="66">
        <v>443</v>
      </c>
      <c r="P86" s="95" t="s">
        <v>470</v>
      </c>
      <c r="Q86" s="153" t="s">
        <v>883</v>
      </c>
      <c r="R86" s="158" t="s">
        <v>448</v>
      </c>
      <c r="S86" s="66" t="s">
        <v>449</v>
      </c>
      <c r="T86" s="66" t="s">
        <v>498</v>
      </c>
      <c r="U86" s="66" t="s">
        <v>464</v>
      </c>
      <c r="V86" s="66" t="s">
        <v>465</v>
      </c>
      <c r="W86" s="66">
        <v>51433</v>
      </c>
      <c r="X86" s="66" t="s">
        <v>874</v>
      </c>
      <c r="Y86" s="66" t="s">
        <v>73</v>
      </c>
      <c r="Z86" s="66">
        <v>17.5</v>
      </c>
      <c r="AA86" s="66" t="s">
        <v>454</v>
      </c>
      <c r="AB86" s="66" t="s">
        <v>884</v>
      </c>
      <c r="AC86" s="66" t="s">
        <v>870</v>
      </c>
    </row>
    <row r="87" spans="1:29" s="67" customFormat="1">
      <c r="A87" s="65">
        <f>VLOOKUP(B87,'서비스 Master'!$C$4:$D$62,2,FALSE)</f>
        <v>40</v>
      </c>
      <c r="B87" s="66" t="s">
        <v>319</v>
      </c>
      <c r="C87" s="65" t="str">
        <f>VLOOKUP(B87,'서비스 Master'!$C$4:$P$62,14,FALSE)</f>
        <v>박상진</v>
      </c>
      <c r="D87" s="65" t="str">
        <f>VLOOKUP(B87,'서비스 Master'!$C$4:$P$62,10,FALSE)</f>
        <v>이용재</v>
      </c>
      <c r="E87" s="65" t="str">
        <f>VLOOKUP(B87,'서비스 Master'!$C$4:$P$62,11,FALSE)</f>
        <v>이재영</v>
      </c>
      <c r="F87" s="2" t="s">
        <v>97</v>
      </c>
      <c r="G87" s="66" t="s">
        <v>440</v>
      </c>
      <c r="H87" s="66" t="s">
        <v>661</v>
      </c>
      <c r="I87" s="66" t="s">
        <v>885</v>
      </c>
      <c r="J87" s="66" t="s">
        <v>421</v>
      </c>
      <c r="K87" s="176" t="s">
        <v>864</v>
      </c>
      <c r="L87" s="176" t="s">
        <v>845</v>
      </c>
      <c r="M87" s="66" t="s">
        <v>886</v>
      </c>
      <c r="N87" s="66" t="s">
        <v>887</v>
      </c>
      <c r="O87" s="66">
        <v>443</v>
      </c>
      <c r="P87" s="95" t="s">
        <v>470</v>
      </c>
      <c r="Q87" s="153" t="s">
        <v>888</v>
      </c>
      <c r="R87" s="158" t="s">
        <v>616</v>
      </c>
      <c r="S87" s="66" t="s">
        <v>449</v>
      </c>
      <c r="T87" s="66" t="s">
        <v>498</v>
      </c>
      <c r="U87" s="66" t="s">
        <v>626</v>
      </c>
      <c r="V87" s="66" t="s">
        <v>627</v>
      </c>
      <c r="W87" s="66">
        <v>51433</v>
      </c>
      <c r="X87" s="66" t="s">
        <v>889</v>
      </c>
      <c r="Y87" s="66" t="s">
        <v>96</v>
      </c>
      <c r="Z87" s="66">
        <v>31.8</v>
      </c>
      <c r="AA87" s="66"/>
      <c r="AB87" s="66" t="s">
        <v>890</v>
      </c>
      <c r="AC87" s="66" t="s">
        <v>870</v>
      </c>
    </row>
    <row r="88" spans="1:29" s="67" customFormat="1">
      <c r="A88" s="65">
        <f>VLOOKUP(B88,'서비스 Master'!$C$4:$D$62,2,FALSE)</f>
        <v>40</v>
      </c>
      <c r="B88" s="66" t="s">
        <v>319</v>
      </c>
      <c r="C88" s="65" t="str">
        <f>VLOOKUP(B88,'서비스 Master'!$C$4:$P$62,14,FALSE)</f>
        <v>박상진</v>
      </c>
      <c r="D88" s="65" t="str">
        <f>VLOOKUP(B88,'서비스 Master'!$C$4:$P$62,10,FALSE)</f>
        <v>이용재</v>
      </c>
      <c r="E88" s="65" t="str">
        <f>VLOOKUP(B88,'서비스 Master'!$C$4:$P$62,11,FALSE)</f>
        <v>이재영</v>
      </c>
      <c r="F88" s="2" t="s">
        <v>97</v>
      </c>
      <c r="G88" s="66" t="s">
        <v>457</v>
      </c>
      <c r="H88" s="66" t="s">
        <v>661</v>
      </c>
      <c r="I88" s="66" t="s">
        <v>885</v>
      </c>
      <c r="J88" s="66" t="s">
        <v>421</v>
      </c>
      <c r="K88" s="176" t="s">
        <v>864</v>
      </c>
      <c r="L88" s="176" t="s">
        <v>845</v>
      </c>
      <c r="M88" s="66" t="s">
        <v>891</v>
      </c>
      <c r="N88" s="66" t="s">
        <v>892</v>
      </c>
      <c r="O88" s="66">
        <v>443</v>
      </c>
      <c r="P88" s="95" t="s">
        <v>470</v>
      </c>
      <c r="Q88" s="153" t="s">
        <v>893</v>
      </c>
      <c r="R88" s="158" t="s">
        <v>616</v>
      </c>
      <c r="S88" s="66" t="s">
        <v>449</v>
      </c>
      <c r="T88" s="66" t="s">
        <v>498</v>
      </c>
      <c r="U88" s="66" t="s">
        <v>724</v>
      </c>
      <c r="V88" s="66" t="s">
        <v>634</v>
      </c>
      <c r="W88" s="66">
        <v>51433</v>
      </c>
      <c r="X88" s="66" t="s">
        <v>894</v>
      </c>
      <c r="Y88" s="66" t="s">
        <v>96</v>
      </c>
      <c r="Z88" s="66">
        <v>27.8</v>
      </c>
      <c r="AA88" s="66"/>
      <c r="AB88" s="66" t="s">
        <v>895</v>
      </c>
      <c r="AC88" s="66" t="s">
        <v>870</v>
      </c>
    </row>
    <row r="89" spans="1:29" s="67" customFormat="1">
      <c r="A89" s="65">
        <f>VLOOKUP(B89,'서비스 Master'!$C$4:$D$62,2,FALSE)</f>
        <v>40</v>
      </c>
      <c r="B89" s="66" t="s">
        <v>319</v>
      </c>
      <c r="C89" s="65" t="str">
        <f>VLOOKUP(B89,'서비스 Master'!$C$4:$P$62,14,FALSE)</f>
        <v>박상진</v>
      </c>
      <c r="D89" s="65" t="str">
        <f>VLOOKUP(B89,'서비스 Master'!$C$4:$P$62,10,FALSE)</f>
        <v>이용재</v>
      </c>
      <c r="E89" s="65" t="str">
        <f>VLOOKUP(B89,'서비스 Master'!$C$4:$P$62,11,FALSE)</f>
        <v>이재영</v>
      </c>
      <c r="F89" s="2" t="s">
        <v>97</v>
      </c>
      <c r="G89" s="66" t="s">
        <v>440</v>
      </c>
      <c r="H89" s="66" t="s">
        <v>661</v>
      </c>
      <c r="I89" s="66" t="s">
        <v>876</v>
      </c>
      <c r="J89" s="66" t="s">
        <v>421</v>
      </c>
      <c r="K89" s="176" t="s">
        <v>864</v>
      </c>
      <c r="L89" s="176" t="s">
        <v>845</v>
      </c>
      <c r="M89" s="66" t="s">
        <v>896</v>
      </c>
      <c r="N89" s="66" t="s">
        <v>897</v>
      </c>
      <c r="O89" s="66">
        <v>443</v>
      </c>
      <c r="P89" s="95" t="s">
        <v>470</v>
      </c>
      <c r="Q89" s="152" t="s">
        <v>898</v>
      </c>
      <c r="R89" s="158" t="s">
        <v>616</v>
      </c>
      <c r="S89" s="66" t="s">
        <v>449</v>
      </c>
      <c r="T89" s="66" t="s">
        <v>498</v>
      </c>
      <c r="U89" s="66" t="s">
        <v>626</v>
      </c>
      <c r="V89" s="66" t="s">
        <v>627</v>
      </c>
      <c r="W89" s="66">
        <v>51433</v>
      </c>
      <c r="X89" s="66" t="s">
        <v>889</v>
      </c>
      <c r="Y89" s="66" t="s">
        <v>96</v>
      </c>
      <c r="Z89" s="66">
        <v>31.8</v>
      </c>
      <c r="AA89" s="66"/>
      <c r="AB89" s="66" t="s">
        <v>899</v>
      </c>
      <c r="AC89" s="66" t="s">
        <v>870</v>
      </c>
    </row>
    <row r="90" spans="1:29" s="67" customFormat="1">
      <c r="A90" s="65">
        <f>VLOOKUP(B90,'서비스 Master'!$C$4:$D$62,2,FALSE)</f>
        <v>40</v>
      </c>
      <c r="B90" s="66" t="s">
        <v>319</v>
      </c>
      <c r="C90" s="65" t="str">
        <f>VLOOKUP(B90,'서비스 Master'!$C$4:$P$62,14,FALSE)</f>
        <v>박상진</v>
      </c>
      <c r="D90" s="65" t="str">
        <f>VLOOKUP(B90,'서비스 Master'!$C$4:$P$62,10,FALSE)</f>
        <v>이용재</v>
      </c>
      <c r="E90" s="65" t="str">
        <f>VLOOKUP(B90,'서비스 Master'!$C$4:$P$62,11,FALSE)</f>
        <v>이재영</v>
      </c>
      <c r="F90" s="2" t="s">
        <v>97</v>
      </c>
      <c r="G90" s="66" t="s">
        <v>457</v>
      </c>
      <c r="H90" s="66" t="s">
        <v>661</v>
      </c>
      <c r="I90" s="66" t="s">
        <v>885</v>
      </c>
      <c r="J90" s="66" t="s">
        <v>421</v>
      </c>
      <c r="K90" s="176" t="s">
        <v>864</v>
      </c>
      <c r="L90" s="176" t="s">
        <v>845</v>
      </c>
      <c r="M90" s="66" t="s">
        <v>900</v>
      </c>
      <c r="N90" s="66" t="s">
        <v>901</v>
      </c>
      <c r="O90" s="66">
        <v>443</v>
      </c>
      <c r="P90" s="95" t="s">
        <v>470</v>
      </c>
      <c r="Q90" s="215" t="s">
        <v>902</v>
      </c>
      <c r="R90" s="158" t="s">
        <v>616</v>
      </c>
      <c r="S90" s="66" t="s">
        <v>449</v>
      </c>
      <c r="T90" s="66" t="s">
        <v>498</v>
      </c>
      <c r="U90" s="66" t="s">
        <v>724</v>
      </c>
      <c r="V90" s="66" t="s">
        <v>634</v>
      </c>
      <c r="W90" s="66">
        <v>51433</v>
      </c>
      <c r="X90" s="66" t="s">
        <v>894</v>
      </c>
      <c r="Y90" s="66" t="s">
        <v>96</v>
      </c>
      <c r="Z90" s="66">
        <v>27.8</v>
      </c>
      <c r="AA90" s="66"/>
      <c r="AB90" s="66" t="s">
        <v>903</v>
      </c>
      <c r="AC90" s="66" t="s">
        <v>870</v>
      </c>
    </row>
    <row r="91" spans="1:29" s="67" customFormat="1">
      <c r="A91" s="65">
        <f>VLOOKUP(B91,'서비스 Master'!$C$4:$D$62,2,FALSE)</f>
        <v>41</v>
      </c>
      <c r="B91" s="66" t="s">
        <v>904</v>
      </c>
      <c r="C91" s="65" t="str">
        <f>VLOOKUP(B91,'서비스 Master'!$C$4:$P$62,14,FALSE)</f>
        <v>명진</v>
      </c>
      <c r="D91" s="65" t="str">
        <f>VLOOKUP(B91,'서비스 Master'!$C$4:$P$62,10,FALSE)</f>
        <v>이용재</v>
      </c>
      <c r="E91" s="65" t="str">
        <f>VLOOKUP(B91,'서비스 Master'!$C$4:$P$62,11,FALSE)</f>
        <v>최봉진</v>
      </c>
      <c r="F91" s="2" t="s">
        <v>97</v>
      </c>
      <c r="G91" s="66" t="s">
        <v>440</v>
      </c>
      <c r="H91" s="66" t="s">
        <v>661</v>
      </c>
      <c r="I91" s="66" t="s">
        <v>885</v>
      </c>
      <c r="J91" s="66" t="s">
        <v>421</v>
      </c>
      <c r="K91" s="176"/>
      <c r="L91" s="174" t="s">
        <v>905</v>
      </c>
      <c r="M91" s="66" t="s">
        <v>906</v>
      </c>
      <c r="N91" s="66" t="s">
        <v>907</v>
      </c>
      <c r="O91" s="66">
        <v>443</v>
      </c>
      <c r="P91" s="95" t="s">
        <v>755</v>
      </c>
      <c r="Q91" s="153" t="s">
        <v>908</v>
      </c>
      <c r="R91" s="158" t="s">
        <v>448</v>
      </c>
      <c r="S91" s="66" t="s">
        <v>449</v>
      </c>
      <c r="T91" s="66" t="s">
        <v>472</v>
      </c>
      <c r="U91" s="66" t="s">
        <v>451</v>
      </c>
      <c r="V91" s="66" t="s">
        <v>452</v>
      </c>
      <c r="W91" s="66">
        <v>51433</v>
      </c>
      <c r="X91" s="66" t="s">
        <v>909</v>
      </c>
      <c r="Y91" s="66" t="s">
        <v>73</v>
      </c>
      <c r="Z91" s="66">
        <v>287.39999999999998</v>
      </c>
      <c r="AA91" s="66" t="s">
        <v>454</v>
      </c>
      <c r="AB91" s="66" t="s">
        <v>910</v>
      </c>
      <c r="AC91" s="66"/>
    </row>
    <row r="92" spans="1:29" s="67" customFormat="1">
      <c r="A92" s="65">
        <f>VLOOKUP(B92,'서비스 Master'!$C$4:$D$62,2,FALSE)</f>
        <v>41</v>
      </c>
      <c r="B92" s="66" t="s">
        <v>904</v>
      </c>
      <c r="C92" s="65" t="str">
        <f>VLOOKUP(B92,'서비스 Master'!$C$4:$P$62,14,FALSE)</f>
        <v>명진</v>
      </c>
      <c r="D92" s="65" t="str">
        <f>VLOOKUP(B92,'서비스 Master'!$C$4:$P$62,10,FALSE)</f>
        <v>이용재</v>
      </c>
      <c r="E92" s="65" t="str">
        <f>VLOOKUP(B92,'서비스 Master'!$C$4:$P$62,11,FALSE)</f>
        <v>최봉진</v>
      </c>
      <c r="F92" s="2" t="s">
        <v>97</v>
      </c>
      <c r="G92" s="66" t="s">
        <v>457</v>
      </c>
      <c r="H92" s="66" t="s">
        <v>661</v>
      </c>
      <c r="I92" s="66" t="s">
        <v>885</v>
      </c>
      <c r="J92" s="66" t="s">
        <v>421</v>
      </c>
      <c r="K92" s="176"/>
      <c r="L92" s="174" t="s">
        <v>911</v>
      </c>
      <c r="M92" s="66" t="s">
        <v>912</v>
      </c>
      <c r="N92" s="66" t="s">
        <v>913</v>
      </c>
      <c r="O92" s="66">
        <v>443</v>
      </c>
      <c r="P92" s="95" t="s">
        <v>755</v>
      </c>
      <c r="Q92" s="153" t="s">
        <v>914</v>
      </c>
      <c r="R92" s="158" t="s">
        <v>448</v>
      </c>
      <c r="S92" s="66" t="s">
        <v>449</v>
      </c>
      <c r="T92" s="66" t="s">
        <v>472</v>
      </c>
      <c r="U92" s="66" t="s">
        <v>464</v>
      </c>
      <c r="V92" s="66" t="s">
        <v>465</v>
      </c>
      <c r="W92" s="66">
        <v>51433</v>
      </c>
      <c r="X92" s="66" t="s">
        <v>909</v>
      </c>
      <c r="Y92" s="66" t="s">
        <v>73</v>
      </c>
      <c r="Z92" s="66">
        <v>266.60000000000002</v>
      </c>
      <c r="AA92" s="66" t="s">
        <v>454</v>
      </c>
      <c r="AB92" s="66" t="s">
        <v>915</v>
      </c>
      <c r="AC92" s="66"/>
    </row>
    <row r="93" spans="1:29" s="60" customFormat="1">
      <c r="A93" s="59">
        <f>VLOOKUP(B93,'서비스 Master'!$C$4:$D$62,2,FALSE)</f>
        <v>41</v>
      </c>
      <c r="B93" s="53" t="s">
        <v>904</v>
      </c>
      <c r="C93" s="59" t="str">
        <f>VLOOKUP(B93,'서비스 Master'!$C$4:$P$62,14,FALSE)</f>
        <v>명진</v>
      </c>
      <c r="D93" s="59" t="str">
        <f>VLOOKUP(B93,'서비스 Master'!$C$4:$P$62,10,FALSE)</f>
        <v>이용재</v>
      </c>
      <c r="E93" s="59" t="str">
        <f>VLOOKUP(B93,'서비스 Master'!$C$4:$P$62,11,FALSE)</f>
        <v>최봉진</v>
      </c>
      <c r="F93" s="53" t="s">
        <v>636</v>
      </c>
      <c r="G93" s="53" t="s">
        <v>440</v>
      </c>
      <c r="H93" s="53" t="s">
        <v>661</v>
      </c>
      <c r="I93" s="53" t="s">
        <v>885</v>
      </c>
      <c r="J93" s="53"/>
      <c r="K93" s="175"/>
      <c r="L93" s="175" t="s">
        <v>556</v>
      </c>
      <c r="M93" s="53" t="s">
        <v>916</v>
      </c>
      <c r="N93" s="53" t="s">
        <v>917</v>
      </c>
      <c r="O93" s="53"/>
      <c r="P93" s="157" t="s">
        <v>446</v>
      </c>
      <c r="Q93" s="154"/>
      <c r="R93" s="158"/>
      <c r="S93" s="53"/>
      <c r="T93" s="53"/>
      <c r="U93" s="53" t="s">
        <v>833</v>
      </c>
      <c r="V93" s="53" t="s">
        <v>452</v>
      </c>
      <c r="W93" s="53"/>
      <c r="X93" s="53" t="s">
        <v>909</v>
      </c>
      <c r="Y93" s="53" t="s">
        <v>73</v>
      </c>
      <c r="Z93" s="53"/>
      <c r="AA93" s="53" t="s">
        <v>454</v>
      </c>
      <c r="AB93" s="53" t="s">
        <v>918</v>
      </c>
      <c r="AC93" s="53"/>
    </row>
    <row r="94" spans="1:29" s="67" customFormat="1">
      <c r="A94" s="65">
        <f>VLOOKUP(B94,'서비스 Master'!$C$4:$D$62,2,FALSE)</f>
        <v>43</v>
      </c>
      <c r="B94" s="66" t="s">
        <v>332</v>
      </c>
      <c r="C94" s="65" t="str">
        <f>VLOOKUP(B94,'서비스 Master'!$C$4:$P$62,14,FALSE)</f>
        <v>명진</v>
      </c>
      <c r="D94" s="65" t="str">
        <f>VLOOKUP(B94,'서비스 Master'!$C$4:$P$62,10,FALSE)</f>
        <v>이용재</v>
      </c>
      <c r="E94" s="65" t="str">
        <f>VLOOKUP(B94,'서비스 Master'!$C$4:$P$62,11,FALSE)</f>
        <v>최창길/김기정</v>
      </c>
      <c r="F94" s="66" t="s">
        <v>97</v>
      </c>
      <c r="G94" s="66" t="s">
        <v>440</v>
      </c>
      <c r="H94" s="66" t="s">
        <v>661</v>
      </c>
      <c r="I94" s="66" t="s">
        <v>885</v>
      </c>
      <c r="J94" s="66" t="s">
        <v>662</v>
      </c>
      <c r="K94" s="176" t="s">
        <v>443</v>
      </c>
      <c r="L94" s="176"/>
      <c r="M94" s="66" t="s">
        <v>753</v>
      </c>
      <c r="N94" s="66" t="s">
        <v>754</v>
      </c>
      <c r="O94" s="66">
        <v>3389</v>
      </c>
      <c r="P94" s="95" t="s">
        <v>755</v>
      </c>
      <c r="Q94" s="153" t="s">
        <v>756</v>
      </c>
      <c r="R94" s="158" t="s">
        <v>757</v>
      </c>
      <c r="S94" s="66" t="s">
        <v>449</v>
      </c>
      <c r="T94" s="66" t="s">
        <v>509</v>
      </c>
      <c r="U94" s="66"/>
      <c r="V94" s="66"/>
      <c r="W94" s="66"/>
      <c r="X94" s="66"/>
      <c r="Y94" s="66"/>
      <c r="Z94" s="66"/>
      <c r="AA94" s="66"/>
      <c r="AB94" s="66" t="s">
        <v>758</v>
      </c>
      <c r="AC94" s="195" t="s">
        <v>919</v>
      </c>
    </row>
    <row r="95" spans="1:29" s="67" customFormat="1">
      <c r="A95" s="65">
        <f>VLOOKUP(B95,'서비스 Master'!$C$4:$D$62,2,FALSE)</f>
        <v>43</v>
      </c>
      <c r="B95" s="66" t="s">
        <v>332</v>
      </c>
      <c r="C95" s="65" t="str">
        <f>VLOOKUP(B95,'서비스 Master'!$C$4:$P$62,14,FALSE)</f>
        <v>명진</v>
      </c>
      <c r="D95" s="65" t="str">
        <f>VLOOKUP(B95,'서비스 Master'!$C$4:$P$62,10,FALSE)</f>
        <v>이용재</v>
      </c>
      <c r="E95" s="65" t="str">
        <f>VLOOKUP(B95,'서비스 Master'!$C$4:$P$62,11,FALSE)</f>
        <v>최창길/김기정</v>
      </c>
      <c r="F95" s="66" t="s">
        <v>97</v>
      </c>
      <c r="G95" s="66" t="s">
        <v>440</v>
      </c>
      <c r="H95" s="66" t="s">
        <v>661</v>
      </c>
      <c r="I95" s="66" t="s">
        <v>885</v>
      </c>
      <c r="J95" s="66" t="s">
        <v>662</v>
      </c>
      <c r="K95" s="176"/>
      <c r="L95" s="176"/>
      <c r="M95" s="66"/>
      <c r="N95" s="66"/>
      <c r="O95" s="66"/>
      <c r="P95" s="95"/>
      <c r="Q95" s="153"/>
      <c r="R95" s="158" t="s">
        <v>757</v>
      </c>
      <c r="S95" s="66"/>
      <c r="T95" s="66" t="s">
        <v>509</v>
      </c>
      <c r="U95" s="66" t="s">
        <v>920</v>
      </c>
      <c r="V95" s="66" t="s">
        <v>921</v>
      </c>
      <c r="W95" s="66">
        <v>1433</v>
      </c>
      <c r="X95" s="66" t="s">
        <v>922</v>
      </c>
      <c r="Y95" s="133" t="s">
        <v>288</v>
      </c>
      <c r="Z95" s="66">
        <v>0.8</v>
      </c>
      <c r="AA95" s="66"/>
      <c r="AB95" s="66"/>
      <c r="AC95" s="195" t="s">
        <v>923</v>
      </c>
    </row>
    <row r="96" spans="1:29" s="147" customFormat="1" ht="16.5" customHeight="1">
      <c r="A96" s="140">
        <f>VLOOKUP(B96,'서비스 Master'!$C$4:$D$62,2,FALSE)</f>
        <v>44</v>
      </c>
      <c r="B96" s="133" t="s">
        <v>337</v>
      </c>
      <c r="C96" s="140" t="str">
        <f>VLOOKUP(B96,'서비스 Master'!$C$4:$P$62,14,FALSE)</f>
        <v>박상진</v>
      </c>
      <c r="D96" s="140" t="str">
        <f>VLOOKUP(B96,'서비스 Master'!$C$4:$P$62,10,FALSE)</f>
        <v>이용재</v>
      </c>
      <c r="E96" s="140" t="str">
        <f>VLOOKUP(B96,'서비스 Master'!$C$4:$P$62,11,FALSE)</f>
        <v>최창길/김기정</v>
      </c>
      <c r="F96" s="133" t="s">
        <v>72</v>
      </c>
      <c r="G96" s="133" t="s">
        <v>440</v>
      </c>
      <c r="H96" s="133" t="s">
        <v>661</v>
      </c>
      <c r="I96" s="133" t="s">
        <v>885</v>
      </c>
      <c r="J96" s="133" t="s">
        <v>662</v>
      </c>
      <c r="K96" s="174" t="s">
        <v>443</v>
      </c>
      <c r="L96" s="174"/>
      <c r="M96" s="133" t="s">
        <v>924</v>
      </c>
      <c r="N96" s="133" t="s">
        <v>925</v>
      </c>
      <c r="O96" s="133">
        <v>3389</v>
      </c>
      <c r="P96" s="156" t="s">
        <v>470</v>
      </c>
      <c r="Q96" s="218" t="s">
        <v>121</v>
      </c>
      <c r="R96" s="160" t="s">
        <v>616</v>
      </c>
      <c r="S96" s="133" t="s">
        <v>449</v>
      </c>
      <c r="T96" s="133" t="s">
        <v>509</v>
      </c>
      <c r="U96" s="133"/>
      <c r="V96" s="133"/>
      <c r="W96" s="133"/>
      <c r="X96" s="133"/>
      <c r="Y96" s="133"/>
      <c r="Z96" s="133"/>
      <c r="AA96" s="133"/>
      <c r="AB96" s="178" t="s">
        <v>926</v>
      </c>
      <c r="AC96" s="133"/>
    </row>
    <row r="97" spans="1:29" s="67" customFormat="1">
      <c r="A97" s="65">
        <f>VLOOKUP(B97,'서비스 Master'!$C$4:$D$62,2,FALSE)</f>
        <v>44</v>
      </c>
      <c r="B97" s="66" t="s">
        <v>337</v>
      </c>
      <c r="C97" s="65" t="str">
        <f>VLOOKUP(B97,'서비스 Master'!$C$4:$P$62,14,FALSE)</f>
        <v>박상진</v>
      </c>
      <c r="D97" s="65" t="str">
        <f>VLOOKUP(B97,'서비스 Master'!$C$4:$P$62,10,FALSE)</f>
        <v>이용재</v>
      </c>
      <c r="E97" s="65" t="str">
        <f>VLOOKUP(B97,'서비스 Master'!$C$4:$P$62,11,FALSE)</f>
        <v>최창길/김기정</v>
      </c>
      <c r="F97" s="66" t="s">
        <v>97</v>
      </c>
      <c r="G97" s="66" t="s">
        <v>457</v>
      </c>
      <c r="H97" s="66" t="s">
        <v>661</v>
      </c>
      <c r="I97" s="66"/>
      <c r="J97" s="66" t="s">
        <v>927</v>
      </c>
      <c r="K97" s="176"/>
      <c r="L97" s="176"/>
      <c r="M97" s="66"/>
      <c r="N97" s="66"/>
      <c r="O97" s="66"/>
      <c r="P97" s="95"/>
      <c r="Q97" s="120" t="s">
        <v>121</v>
      </c>
      <c r="R97" s="160" t="s">
        <v>448</v>
      </c>
      <c r="S97" s="66"/>
      <c r="T97" s="66"/>
      <c r="U97" s="66" t="s">
        <v>928</v>
      </c>
      <c r="V97" s="66" t="s">
        <v>929</v>
      </c>
      <c r="W97" s="66">
        <v>1521</v>
      </c>
      <c r="X97" s="66" t="s">
        <v>714</v>
      </c>
      <c r="Y97" s="133" t="s">
        <v>120</v>
      </c>
      <c r="Z97" s="66">
        <v>0</v>
      </c>
      <c r="AA97" s="66"/>
      <c r="AB97" s="66" t="s">
        <v>930</v>
      </c>
      <c r="AC97" s="66"/>
    </row>
    <row r="98" spans="1:29" s="67" customFormat="1" ht="15" customHeight="1">
      <c r="A98" s="65">
        <f>VLOOKUP(B98,'서비스 Master'!$C$4:$D$62,2,FALSE)</f>
        <v>44</v>
      </c>
      <c r="B98" s="66" t="s">
        <v>337</v>
      </c>
      <c r="C98" s="65" t="str">
        <f>VLOOKUP(B98,'서비스 Master'!$C$4:$P$62,14,FALSE)</f>
        <v>박상진</v>
      </c>
      <c r="D98" s="65" t="str">
        <f>VLOOKUP(B98,'서비스 Master'!$C$4:$P$62,10,FALSE)</f>
        <v>이용재</v>
      </c>
      <c r="E98" s="65" t="str">
        <f>VLOOKUP(B98,'서비스 Master'!$C$4:$P$62,11,FALSE)</f>
        <v>최창길/김기정</v>
      </c>
      <c r="F98" s="66" t="s">
        <v>97</v>
      </c>
      <c r="G98" s="66" t="s">
        <v>440</v>
      </c>
      <c r="H98" s="66" t="s">
        <v>661</v>
      </c>
      <c r="I98" s="66" t="s">
        <v>885</v>
      </c>
      <c r="J98" s="66" t="s">
        <v>662</v>
      </c>
      <c r="K98" s="176" t="s">
        <v>443</v>
      </c>
      <c r="L98" s="176"/>
      <c r="M98" s="66" t="s">
        <v>753</v>
      </c>
      <c r="N98" s="66" t="s">
        <v>754</v>
      </c>
      <c r="O98" s="66">
        <v>3389</v>
      </c>
      <c r="P98" s="95" t="s">
        <v>755</v>
      </c>
      <c r="Q98" s="153" t="s">
        <v>756</v>
      </c>
      <c r="R98" s="158" t="s">
        <v>757</v>
      </c>
      <c r="S98" s="66" t="s">
        <v>449</v>
      </c>
      <c r="T98" s="66" t="s">
        <v>509</v>
      </c>
      <c r="U98" s="133" t="s">
        <v>931</v>
      </c>
      <c r="V98" s="133" t="s">
        <v>704</v>
      </c>
      <c r="W98" s="66">
        <v>1521</v>
      </c>
      <c r="X98" s="66" t="s">
        <v>705</v>
      </c>
      <c r="Y98" s="133" t="s">
        <v>120</v>
      </c>
      <c r="Z98" s="66"/>
      <c r="AA98" s="66"/>
      <c r="AB98" s="66" t="s">
        <v>758</v>
      </c>
      <c r="AC98" s="66"/>
    </row>
    <row r="99" spans="1:29" s="67" customFormat="1" ht="15" customHeight="1">
      <c r="A99" s="65">
        <f>VLOOKUP(B99,'서비스 Master'!$C$4:$D$62,2,FALSE)</f>
        <v>45</v>
      </c>
      <c r="B99" s="66" t="s">
        <v>340</v>
      </c>
      <c r="C99" s="65" t="str">
        <f>VLOOKUP(B99,'서비스 Master'!$C$4:$P$62,14,FALSE)</f>
        <v>임준식</v>
      </c>
      <c r="D99" s="65" t="str">
        <f>VLOOKUP(B99,'서비스 Master'!$C$4:$P$62,10,FALSE)</f>
        <v>이용재</v>
      </c>
      <c r="E99" s="65" t="str">
        <f>VLOOKUP(B99,'서비스 Master'!$C$4:$P$62,11,FALSE)</f>
        <v>최창길/김기정</v>
      </c>
      <c r="F99" s="66" t="s">
        <v>97</v>
      </c>
      <c r="G99" s="66" t="s">
        <v>440</v>
      </c>
      <c r="H99" s="66" t="s">
        <v>661</v>
      </c>
      <c r="I99" s="66" t="s">
        <v>885</v>
      </c>
      <c r="J99" s="66" t="s">
        <v>662</v>
      </c>
      <c r="K99" s="176" t="s">
        <v>443</v>
      </c>
      <c r="L99" s="176"/>
      <c r="M99" s="66" t="s">
        <v>753</v>
      </c>
      <c r="N99" s="66" t="s">
        <v>754</v>
      </c>
      <c r="O99" s="66">
        <v>3389</v>
      </c>
      <c r="P99" s="95" t="s">
        <v>755</v>
      </c>
      <c r="Q99" s="153" t="s">
        <v>756</v>
      </c>
      <c r="R99" s="158" t="s">
        <v>932</v>
      </c>
      <c r="S99" s="66" t="s">
        <v>449</v>
      </c>
      <c r="T99" s="66" t="s">
        <v>509</v>
      </c>
      <c r="U99" s="66" t="s">
        <v>741</v>
      </c>
      <c r="V99" s="66" t="s">
        <v>742</v>
      </c>
      <c r="W99" s="66">
        <v>1521</v>
      </c>
      <c r="X99" s="66" t="s">
        <v>743</v>
      </c>
      <c r="Y99" s="133" t="s">
        <v>120</v>
      </c>
      <c r="Z99" s="2">
        <v>4</v>
      </c>
      <c r="AA99" s="66"/>
      <c r="AB99" s="66" t="s">
        <v>758</v>
      </c>
      <c r="AC99" s="66"/>
    </row>
    <row r="100" spans="1:29" s="67" customFormat="1" ht="15" customHeight="1">
      <c r="A100" s="65">
        <f>VLOOKUP(B100,'서비스 Master'!$C$4:$D$62,2,FALSE)</f>
        <v>45</v>
      </c>
      <c r="B100" s="66" t="s">
        <v>340</v>
      </c>
      <c r="C100" s="65" t="str">
        <f>VLOOKUP(B100,'서비스 Master'!$C$4:$P$62,14,FALSE)</f>
        <v>임준식</v>
      </c>
      <c r="D100" s="65" t="str">
        <f>VLOOKUP(B100,'서비스 Master'!$C$4:$P$62,10,FALSE)</f>
        <v>이용재</v>
      </c>
      <c r="E100" s="65" t="str">
        <f>VLOOKUP(B100,'서비스 Master'!$C$4:$P$62,11,FALSE)</f>
        <v>최창길/김기정</v>
      </c>
      <c r="F100" s="66" t="s">
        <v>97</v>
      </c>
      <c r="G100" s="66" t="s">
        <v>457</v>
      </c>
      <c r="H100" s="68" t="s">
        <v>661</v>
      </c>
      <c r="I100" s="66"/>
      <c r="J100" s="66" t="s">
        <v>927</v>
      </c>
      <c r="K100" s="176"/>
      <c r="L100" s="176"/>
      <c r="M100" s="66"/>
      <c r="N100" s="66"/>
      <c r="O100" s="66"/>
      <c r="P100" s="95"/>
      <c r="Q100" s="120" t="s">
        <v>121</v>
      </c>
      <c r="R100" s="158" t="s">
        <v>448</v>
      </c>
      <c r="S100" s="66"/>
      <c r="T100" s="66"/>
      <c r="U100" s="66" t="s">
        <v>745</v>
      </c>
      <c r="V100" s="66" t="s">
        <v>746</v>
      </c>
      <c r="W100" s="66">
        <v>1521</v>
      </c>
      <c r="X100" s="66" t="s">
        <v>933</v>
      </c>
      <c r="Y100" s="133" t="s">
        <v>120</v>
      </c>
      <c r="Z100" s="2">
        <v>0</v>
      </c>
      <c r="AA100" s="66"/>
      <c r="AB100" s="66" t="s">
        <v>934</v>
      </c>
      <c r="AC100" s="66"/>
    </row>
    <row r="101" spans="1:29" s="67" customFormat="1" ht="14.25" customHeight="1">
      <c r="A101" s="65">
        <f>VLOOKUP(B101,'서비스 Master'!$C$4:$D$62,2,FALSE)</f>
        <v>46</v>
      </c>
      <c r="B101" s="66" t="s">
        <v>343</v>
      </c>
      <c r="C101" s="65" t="str">
        <f>VLOOKUP(B101,'서비스 Master'!$C$4:$P$62,14,FALSE)</f>
        <v>명진</v>
      </c>
      <c r="D101" s="65" t="str">
        <f>VLOOKUP(B101,'서비스 Master'!$C$4:$P$62,10,FALSE)</f>
        <v>이용재</v>
      </c>
      <c r="E101" s="65" t="str">
        <f>VLOOKUP(B101,'서비스 Master'!$C$4:$P$62,11,FALSE)</f>
        <v>최슬기</v>
      </c>
      <c r="F101" s="66" t="s">
        <v>97</v>
      </c>
      <c r="G101" s="66" t="s">
        <v>440</v>
      </c>
      <c r="H101" s="68" t="s">
        <v>661</v>
      </c>
      <c r="I101" s="66" t="s">
        <v>876</v>
      </c>
      <c r="J101" s="66" t="s">
        <v>421</v>
      </c>
      <c r="K101" s="174" t="s">
        <v>935</v>
      </c>
      <c r="L101" s="176" t="s">
        <v>845</v>
      </c>
      <c r="M101" s="66" t="s">
        <v>936</v>
      </c>
      <c r="N101" s="66" t="s">
        <v>937</v>
      </c>
      <c r="O101" s="66">
        <v>3389</v>
      </c>
      <c r="P101" s="165" t="s">
        <v>640</v>
      </c>
      <c r="Q101" s="153" t="s">
        <v>938</v>
      </c>
      <c r="R101" s="158" t="s">
        <v>448</v>
      </c>
      <c r="S101" s="66" t="s">
        <v>449</v>
      </c>
      <c r="T101" s="66" t="s">
        <v>450</v>
      </c>
      <c r="U101" s="66" t="s">
        <v>939</v>
      </c>
      <c r="V101" s="66" t="s">
        <v>940</v>
      </c>
      <c r="W101" s="66">
        <v>1433</v>
      </c>
      <c r="X101" s="105" t="s">
        <v>941</v>
      </c>
      <c r="Y101" s="133" t="s">
        <v>288</v>
      </c>
      <c r="Z101" s="66">
        <v>11.3</v>
      </c>
      <c r="AA101" s="66"/>
      <c r="AB101" s="133" t="s">
        <v>942</v>
      </c>
      <c r="AC101" s="66"/>
    </row>
    <row r="102" spans="1:29" s="67" customFormat="1">
      <c r="A102" s="65">
        <f>VLOOKUP(B102,'서비스 Master'!$C$4:$D$62,2,FALSE)</f>
        <v>46</v>
      </c>
      <c r="B102" s="66" t="s">
        <v>343</v>
      </c>
      <c r="C102" s="65" t="str">
        <f>VLOOKUP(B102,'서비스 Master'!$C$4:$P$62,14,FALSE)</f>
        <v>명진</v>
      </c>
      <c r="D102" s="65" t="str">
        <f>VLOOKUP(B102,'서비스 Master'!$C$4:$P$62,10,FALSE)</f>
        <v>이용재</v>
      </c>
      <c r="E102" s="65" t="str">
        <f>VLOOKUP(B102,'서비스 Master'!$C$4:$P$62,11,FALSE)</f>
        <v>최슬기</v>
      </c>
      <c r="F102" s="66" t="s">
        <v>97</v>
      </c>
      <c r="G102" s="66" t="s">
        <v>457</v>
      </c>
      <c r="H102" s="66" t="s">
        <v>661</v>
      </c>
      <c r="I102" s="66"/>
      <c r="J102" s="66" t="s">
        <v>421</v>
      </c>
      <c r="K102" s="176" t="s">
        <v>459</v>
      </c>
      <c r="L102" s="176" t="s">
        <v>845</v>
      </c>
      <c r="M102" s="66" t="s">
        <v>943</v>
      </c>
      <c r="N102" s="66" t="s">
        <v>944</v>
      </c>
      <c r="O102" s="66">
        <v>53389</v>
      </c>
      <c r="P102" s="95" t="s">
        <v>755</v>
      </c>
      <c r="Q102" s="151"/>
      <c r="R102" s="158" t="s">
        <v>448</v>
      </c>
      <c r="S102" s="66" t="s">
        <v>449</v>
      </c>
      <c r="T102" s="66" t="s">
        <v>450</v>
      </c>
      <c r="U102" s="66"/>
      <c r="V102" s="66"/>
      <c r="W102" s="66"/>
      <c r="X102" s="105"/>
      <c r="Y102" s="66"/>
      <c r="Z102" s="66"/>
      <c r="AA102" s="66"/>
      <c r="AB102" s="66"/>
      <c r="AC102" s="66" t="s">
        <v>945</v>
      </c>
    </row>
    <row r="103" spans="1:29" s="67" customFormat="1">
      <c r="A103" s="65">
        <f>VLOOKUP(B103,'서비스 Master'!$C$4:$D$62,2,FALSE)</f>
        <v>46</v>
      </c>
      <c r="B103" s="66" t="s">
        <v>343</v>
      </c>
      <c r="C103" s="65" t="str">
        <f>VLOOKUP(B103,'서비스 Master'!$C$4:$P$62,14,FALSE)</f>
        <v>명진</v>
      </c>
      <c r="D103" s="65" t="str">
        <f>VLOOKUP(B103,'서비스 Master'!$C$4:$P$62,10,FALSE)</f>
        <v>이용재</v>
      </c>
      <c r="E103" s="65" t="str">
        <f>VLOOKUP(B103,'서비스 Master'!$C$4:$P$62,11,FALSE)</f>
        <v>최슬기</v>
      </c>
      <c r="F103" s="66" t="s">
        <v>97</v>
      </c>
      <c r="G103" s="66" t="s">
        <v>457</v>
      </c>
      <c r="H103" s="66" t="s">
        <v>661</v>
      </c>
      <c r="I103" s="66"/>
      <c r="J103" s="66" t="s">
        <v>421</v>
      </c>
      <c r="K103" s="176" t="s">
        <v>459</v>
      </c>
      <c r="L103" s="176"/>
      <c r="M103" s="66" t="s">
        <v>946</v>
      </c>
      <c r="N103" s="66" t="s">
        <v>944</v>
      </c>
      <c r="O103" s="66">
        <v>53389</v>
      </c>
      <c r="P103" s="95" t="s">
        <v>755</v>
      </c>
      <c r="Q103" s="151"/>
      <c r="R103" s="158" t="s">
        <v>448</v>
      </c>
      <c r="S103" s="66" t="s">
        <v>449</v>
      </c>
      <c r="T103" s="66" t="s">
        <v>450</v>
      </c>
      <c r="U103" s="66"/>
      <c r="V103" s="66" t="s">
        <v>465</v>
      </c>
      <c r="W103" s="66">
        <v>51433</v>
      </c>
      <c r="X103" s="69" t="s">
        <v>947</v>
      </c>
      <c r="Y103" s="66" t="s">
        <v>73</v>
      </c>
      <c r="Z103" s="66">
        <v>0.4</v>
      </c>
      <c r="AA103" s="66"/>
      <c r="AB103" s="66"/>
      <c r="AC103" s="66" t="s">
        <v>945</v>
      </c>
    </row>
    <row r="104" spans="1:29" s="67" customFormat="1">
      <c r="A104" s="65">
        <f>VLOOKUP(B104,'서비스 Master'!$C$4:$D$62,2,FALSE)</f>
        <v>47</v>
      </c>
      <c r="B104" s="66" t="s">
        <v>351</v>
      </c>
      <c r="C104" s="65" t="str">
        <f>VLOOKUP(B104,'서비스 Master'!$C$4:$P$62,14,FALSE)</f>
        <v>명진</v>
      </c>
      <c r="D104" s="65" t="str">
        <f>VLOOKUP(B104,'서비스 Master'!$C$4:$P$62,10,FALSE)</f>
        <v>이용재</v>
      </c>
      <c r="E104" s="65" t="str">
        <f>VLOOKUP(B104,'서비스 Master'!$C$4:$P$62,11,FALSE)</f>
        <v>정정배</v>
      </c>
      <c r="F104" s="66" t="s">
        <v>97</v>
      </c>
      <c r="G104" s="66" t="s">
        <v>440</v>
      </c>
      <c r="H104" s="66" t="s">
        <v>661</v>
      </c>
      <c r="I104" s="66" t="s">
        <v>885</v>
      </c>
      <c r="J104" s="66" t="s">
        <v>421</v>
      </c>
      <c r="K104" s="176" t="s">
        <v>443</v>
      </c>
      <c r="L104" s="176"/>
      <c r="M104" s="66" t="s">
        <v>948</v>
      </c>
      <c r="N104" s="66" t="s">
        <v>949</v>
      </c>
      <c r="O104" s="66">
        <v>443</v>
      </c>
      <c r="P104" s="95" t="s">
        <v>755</v>
      </c>
      <c r="Q104" s="153" t="s">
        <v>950</v>
      </c>
      <c r="R104" s="158" t="s">
        <v>616</v>
      </c>
      <c r="S104" s="66" t="s">
        <v>449</v>
      </c>
      <c r="T104" s="66" t="s">
        <v>450</v>
      </c>
      <c r="U104" s="66" t="s">
        <v>718</v>
      </c>
      <c r="V104" s="66" t="s">
        <v>719</v>
      </c>
      <c r="W104" s="66">
        <v>51433</v>
      </c>
      <c r="X104" s="66" t="s">
        <v>351</v>
      </c>
      <c r="Y104" s="66" t="s">
        <v>96</v>
      </c>
      <c r="Z104" s="66">
        <v>0.1</v>
      </c>
      <c r="AA104" s="66"/>
      <c r="AB104" s="66" t="s">
        <v>951</v>
      </c>
      <c r="AC104" s="66"/>
    </row>
    <row r="105" spans="1:29" s="67" customFormat="1">
      <c r="A105" s="65">
        <f>VLOOKUP(B105,'서비스 Master'!$C$4:$D$62,2,FALSE)</f>
        <v>47</v>
      </c>
      <c r="B105" s="66" t="s">
        <v>351</v>
      </c>
      <c r="C105" s="65" t="str">
        <f>VLOOKUP(B105,'서비스 Master'!$C$4:$P$62,14,FALSE)</f>
        <v>명진</v>
      </c>
      <c r="D105" s="65" t="str">
        <f>VLOOKUP(B105,'서비스 Master'!$C$4:$P$62,10,FALSE)</f>
        <v>이용재</v>
      </c>
      <c r="E105" s="65" t="str">
        <f>VLOOKUP(B105,'서비스 Master'!$C$4:$P$62,11,FALSE)</f>
        <v>정정배</v>
      </c>
      <c r="F105" s="66" t="s">
        <v>97</v>
      </c>
      <c r="G105" s="66" t="s">
        <v>457</v>
      </c>
      <c r="H105" s="66" t="s">
        <v>661</v>
      </c>
      <c r="I105" s="66" t="s">
        <v>885</v>
      </c>
      <c r="J105" s="66" t="s">
        <v>421</v>
      </c>
      <c r="K105" s="176" t="s">
        <v>443</v>
      </c>
      <c r="L105" s="176"/>
      <c r="M105" s="66" t="s">
        <v>952</v>
      </c>
      <c r="N105" s="66" t="s">
        <v>953</v>
      </c>
      <c r="O105" s="66">
        <v>443</v>
      </c>
      <c r="P105" s="95" t="s">
        <v>755</v>
      </c>
      <c r="Q105" s="153" t="s">
        <v>954</v>
      </c>
      <c r="R105" s="158" t="s">
        <v>616</v>
      </c>
      <c r="S105" s="66" t="s">
        <v>449</v>
      </c>
      <c r="T105" s="66" t="s">
        <v>450</v>
      </c>
      <c r="U105" s="66" t="s">
        <v>724</v>
      </c>
      <c r="V105" s="66" t="s">
        <v>634</v>
      </c>
      <c r="W105" s="66">
        <v>51433</v>
      </c>
      <c r="X105" s="66" t="s">
        <v>955</v>
      </c>
      <c r="Y105" s="66" t="s">
        <v>96</v>
      </c>
      <c r="Z105" s="66">
        <v>0.1</v>
      </c>
      <c r="AA105" s="66"/>
      <c r="AB105" s="66" t="s">
        <v>956</v>
      </c>
      <c r="AC105" s="66"/>
    </row>
    <row r="106" spans="1:29" s="60" customFormat="1">
      <c r="A106" s="59">
        <f>VLOOKUP(B106,'서비스 Master'!$C$4:$D$62,2,FALSE)</f>
        <v>47</v>
      </c>
      <c r="B106" s="53" t="s">
        <v>351</v>
      </c>
      <c r="C106" s="59" t="str">
        <f>VLOOKUP(B106,'서비스 Master'!$C$4:$P$62,14,FALSE)</f>
        <v>명진</v>
      </c>
      <c r="D106" s="59" t="str">
        <f>VLOOKUP(B106,'서비스 Master'!$C$4:$P$62,10,FALSE)</f>
        <v>이용재</v>
      </c>
      <c r="E106" s="59" t="str">
        <f>VLOOKUP(B106,'서비스 Master'!$C$4:$P$62,11,FALSE)</f>
        <v>정정배</v>
      </c>
      <c r="F106" s="53" t="s">
        <v>636</v>
      </c>
      <c r="G106" s="53" t="s">
        <v>440</v>
      </c>
      <c r="H106" s="53" t="s">
        <v>661</v>
      </c>
      <c r="I106" s="53"/>
      <c r="J106" s="53" t="s">
        <v>421</v>
      </c>
      <c r="K106" s="175"/>
      <c r="L106" s="175"/>
      <c r="M106" s="53" t="s">
        <v>957</v>
      </c>
      <c r="N106" s="53" t="s">
        <v>958</v>
      </c>
      <c r="O106" s="53"/>
      <c r="P106" s="157" t="s">
        <v>959</v>
      </c>
      <c r="Q106" s="154"/>
      <c r="R106" s="158"/>
      <c r="S106" s="53"/>
      <c r="T106" s="53"/>
      <c r="U106" s="53"/>
      <c r="V106" s="53"/>
      <c r="W106" s="53"/>
      <c r="X106" s="53"/>
      <c r="Y106" s="53"/>
      <c r="Z106" s="53"/>
      <c r="AA106" s="53"/>
      <c r="AB106" s="53" t="s">
        <v>960</v>
      </c>
      <c r="AC106" s="53"/>
    </row>
    <row r="107" spans="1:29" s="67" customFormat="1">
      <c r="A107" s="65">
        <f>VLOOKUP(B107,'서비스 Master'!$C$4:$D$62,2,FALSE)</f>
        <v>48</v>
      </c>
      <c r="B107" s="66" t="s">
        <v>357</v>
      </c>
      <c r="C107" s="65" t="str">
        <f>VLOOKUP(B107,'서비스 Master'!$C$4:$P$62,14,FALSE)</f>
        <v>명진</v>
      </c>
      <c r="D107" s="65" t="str">
        <f>VLOOKUP(B107,'서비스 Master'!$C$4:$P$62,10,FALSE)</f>
        <v>이용재</v>
      </c>
      <c r="E107" s="65" t="str">
        <f>VLOOKUP(B107,'서비스 Master'!$C$4:$P$62,11,FALSE)</f>
        <v>박정현</v>
      </c>
      <c r="F107" s="66" t="s">
        <v>97</v>
      </c>
      <c r="G107" s="66" t="s">
        <v>440</v>
      </c>
      <c r="H107" s="66" t="s">
        <v>466</v>
      </c>
      <c r="I107" s="66"/>
      <c r="J107" s="66" t="s">
        <v>421</v>
      </c>
      <c r="K107" s="176"/>
      <c r="L107" s="176" t="s">
        <v>670</v>
      </c>
      <c r="M107" s="66" t="s">
        <v>961</v>
      </c>
      <c r="N107" s="214" t="s">
        <v>962</v>
      </c>
      <c r="O107" s="66">
        <v>443</v>
      </c>
      <c r="P107" s="95" t="s">
        <v>470</v>
      </c>
      <c r="Q107" s="153" t="s">
        <v>963</v>
      </c>
      <c r="R107" s="123"/>
      <c r="S107" s="66" t="s">
        <v>964</v>
      </c>
      <c r="T107" s="66" t="s">
        <v>498</v>
      </c>
      <c r="U107" s="66" t="s">
        <v>473</v>
      </c>
      <c r="V107" s="66" t="s">
        <v>474</v>
      </c>
      <c r="W107" s="66">
        <v>51433</v>
      </c>
      <c r="X107" s="66" t="s">
        <v>965</v>
      </c>
      <c r="Y107" s="66" t="s">
        <v>96</v>
      </c>
      <c r="Z107" s="66">
        <v>43.5</v>
      </c>
      <c r="AA107" s="66"/>
      <c r="AB107" s="66" t="s">
        <v>562</v>
      </c>
      <c r="AC107" s="66"/>
    </row>
    <row r="108" spans="1:29" s="67" customFormat="1">
      <c r="A108" s="65">
        <f>VLOOKUP(B108,'서비스 Master'!$C$4:$D$62,2,FALSE)</f>
        <v>48</v>
      </c>
      <c r="B108" s="66" t="s">
        <v>357</v>
      </c>
      <c r="C108" s="65" t="str">
        <f>VLOOKUP(B108,'서비스 Master'!$C$4:$P$62,14,FALSE)</f>
        <v>명진</v>
      </c>
      <c r="D108" s="65" t="str">
        <f>VLOOKUP(B108,'서비스 Master'!$C$4:$P$62,10,FALSE)</f>
        <v>이용재</v>
      </c>
      <c r="E108" s="65" t="str">
        <f>VLOOKUP(B108,'서비스 Master'!$C$4:$P$62,11,FALSE)</f>
        <v>박정현</v>
      </c>
      <c r="F108" s="66" t="s">
        <v>97</v>
      </c>
      <c r="G108" s="66" t="s">
        <v>440</v>
      </c>
      <c r="H108" s="66" t="s">
        <v>466</v>
      </c>
      <c r="I108" s="66"/>
      <c r="J108" s="66" t="s">
        <v>421</v>
      </c>
      <c r="K108" s="176"/>
      <c r="L108" s="176" t="s">
        <v>670</v>
      </c>
      <c r="M108" s="66" t="s">
        <v>966</v>
      </c>
      <c r="N108" s="214" t="s">
        <v>967</v>
      </c>
      <c r="O108" s="66">
        <v>443</v>
      </c>
      <c r="P108" s="95" t="s">
        <v>470</v>
      </c>
      <c r="Q108" s="153" t="s">
        <v>968</v>
      </c>
      <c r="R108" s="123"/>
      <c r="S108" s="66" t="s">
        <v>964</v>
      </c>
      <c r="T108" s="66" t="s">
        <v>498</v>
      </c>
      <c r="U108" s="66" t="s">
        <v>473</v>
      </c>
      <c r="V108" s="66" t="s">
        <v>474</v>
      </c>
      <c r="W108" s="66">
        <v>51433</v>
      </c>
      <c r="X108" s="66" t="s">
        <v>965</v>
      </c>
      <c r="Y108" s="66" t="s">
        <v>96</v>
      </c>
      <c r="Z108" s="66">
        <v>43.5</v>
      </c>
      <c r="AA108" s="66"/>
      <c r="AB108" s="66" t="s">
        <v>562</v>
      </c>
      <c r="AC108" s="66"/>
    </row>
    <row r="109" spans="1:29" s="67" customFormat="1">
      <c r="A109" s="65">
        <f>VLOOKUP(B109,'서비스 Master'!$C$4:$D$62,2,FALSE)</f>
        <v>48</v>
      </c>
      <c r="B109" s="66" t="s">
        <v>357</v>
      </c>
      <c r="C109" s="65" t="str">
        <f>VLOOKUP(B109,'서비스 Master'!$C$4:$P$62,14,FALSE)</f>
        <v>명진</v>
      </c>
      <c r="D109" s="65" t="str">
        <f>VLOOKUP(B109,'서비스 Master'!$C$4:$P$62,10,FALSE)</f>
        <v>이용재</v>
      </c>
      <c r="E109" s="65" t="str">
        <f>VLOOKUP(B109,'서비스 Master'!$C$4:$P$62,11,FALSE)</f>
        <v>박정현</v>
      </c>
      <c r="F109" s="66" t="s">
        <v>97</v>
      </c>
      <c r="G109" s="66" t="s">
        <v>440</v>
      </c>
      <c r="H109" s="66" t="s">
        <v>466</v>
      </c>
      <c r="I109" s="66"/>
      <c r="J109" s="66" t="s">
        <v>421</v>
      </c>
      <c r="K109" s="176" t="s">
        <v>679</v>
      </c>
      <c r="L109" s="176"/>
      <c r="M109" s="93" t="s">
        <v>969</v>
      </c>
      <c r="N109" s="93" t="s">
        <v>970</v>
      </c>
      <c r="O109" s="66">
        <v>443</v>
      </c>
      <c r="P109" s="166" t="s">
        <v>470</v>
      </c>
      <c r="Q109" s="120"/>
      <c r="R109" s="123"/>
      <c r="S109" s="66"/>
      <c r="T109" s="66"/>
      <c r="U109" s="66" t="s">
        <v>473</v>
      </c>
      <c r="V109" s="66" t="s">
        <v>474</v>
      </c>
      <c r="W109" s="66">
        <v>51433</v>
      </c>
      <c r="X109" s="66" t="s">
        <v>965</v>
      </c>
      <c r="Y109" s="66" t="s">
        <v>96</v>
      </c>
      <c r="Z109" s="66">
        <v>43.5</v>
      </c>
      <c r="AA109" s="66"/>
      <c r="AB109" s="66" t="s">
        <v>562</v>
      </c>
      <c r="AC109" s="66"/>
    </row>
    <row r="110" spans="1:29" s="67" customFormat="1" ht="13.5" customHeight="1">
      <c r="A110" s="65">
        <v>48</v>
      </c>
      <c r="B110" s="66" t="s">
        <v>357</v>
      </c>
      <c r="C110" s="65" t="str">
        <f>VLOOKUP(B110,'서비스 Master'!$C$4:$P$62,14,FALSE)</f>
        <v>명진</v>
      </c>
      <c r="D110" s="65" t="str">
        <f>VLOOKUP(B110,'서비스 Master'!$C$4:$P$62,10,FALSE)</f>
        <v>이용재</v>
      </c>
      <c r="E110" s="65" t="str">
        <f>VLOOKUP(B110,'서비스 Master'!$C$4:$P$62,11,FALSE)</f>
        <v>박정현</v>
      </c>
      <c r="F110" s="66" t="s">
        <v>97</v>
      </c>
      <c r="G110" s="66" t="s">
        <v>485</v>
      </c>
      <c r="H110" s="66" t="s">
        <v>466</v>
      </c>
      <c r="I110" s="66"/>
      <c r="J110" s="66" t="s">
        <v>421</v>
      </c>
      <c r="K110" s="176"/>
      <c r="L110" s="177" t="s">
        <v>670</v>
      </c>
      <c r="M110" s="92" t="s">
        <v>682</v>
      </c>
      <c r="N110" s="216" t="s">
        <v>683</v>
      </c>
      <c r="O110" s="89">
        <v>443</v>
      </c>
      <c r="P110" s="219" t="s">
        <v>470</v>
      </c>
      <c r="Q110" s="153" t="s">
        <v>971</v>
      </c>
      <c r="R110" s="123"/>
      <c r="S110" s="66" t="s">
        <v>964</v>
      </c>
      <c r="T110" s="66" t="s">
        <v>498</v>
      </c>
      <c r="U110" s="66" t="s">
        <v>503</v>
      </c>
      <c r="V110" s="66" t="s">
        <v>490</v>
      </c>
      <c r="W110" s="66">
        <v>51433</v>
      </c>
      <c r="X110" s="66" t="s">
        <v>965</v>
      </c>
      <c r="Y110" s="66" t="s">
        <v>96</v>
      </c>
      <c r="Z110" s="66">
        <v>31.7</v>
      </c>
      <c r="AA110" s="66"/>
      <c r="AB110" s="66" t="s">
        <v>562</v>
      </c>
      <c r="AC110" s="66"/>
    </row>
    <row r="111" spans="1:29" s="67" customFormat="1" ht="13.5" customHeight="1">
      <c r="A111" s="65">
        <v>48</v>
      </c>
      <c r="B111" s="66" t="s">
        <v>357</v>
      </c>
      <c r="C111" s="65" t="str">
        <f>VLOOKUP(B111,'서비스 Master'!$C$4:$P$62,14,FALSE)</f>
        <v>명진</v>
      </c>
      <c r="D111" s="65" t="str">
        <f>VLOOKUP(B111,'서비스 Master'!$C$4:$P$62,10,FALSE)</f>
        <v>이용재</v>
      </c>
      <c r="E111" s="65" t="str">
        <f>VLOOKUP(B111,'서비스 Master'!$C$4:$P$62,11,FALSE)</f>
        <v>박정현</v>
      </c>
      <c r="F111" s="66" t="s">
        <v>97</v>
      </c>
      <c r="G111" s="66" t="s">
        <v>485</v>
      </c>
      <c r="H111" s="66" t="s">
        <v>466</v>
      </c>
      <c r="I111" s="66"/>
      <c r="J111" s="66" t="s">
        <v>421</v>
      </c>
      <c r="K111" s="176"/>
      <c r="L111" s="177" t="s">
        <v>670</v>
      </c>
      <c r="M111" s="92" t="s">
        <v>682</v>
      </c>
      <c r="N111" s="216" t="s">
        <v>683</v>
      </c>
      <c r="O111" s="89">
        <v>443</v>
      </c>
      <c r="P111" s="219" t="s">
        <v>470</v>
      </c>
      <c r="Q111" s="153" t="s">
        <v>972</v>
      </c>
      <c r="R111" s="123"/>
      <c r="S111" s="66" t="s">
        <v>964</v>
      </c>
      <c r="T111" s="66" t="s">
        <v>498</v>
      </c>
      <c r="U111" s="66" t="s">
        <v>503</v>
      </c>
      <c r="V111" s="66" t="s">
        <v>490</v>
      </c>
      <c r="W111" s="93">
        <v>51433</v>
      </c>
      <c r="X111" s="66" t="s">
        <v>965</v>
      </c>
      <c r="Y111" s="93" t="s">
        <v>96</v>
      </c>
      <c r="Z111" s="66">
        <v>31.7</v>
      </c>
      <c r="AA111" s="93"/>
      <c r="AB111" s="93" t="s">
        <v>562</v>
      </c>
      <c r="AC111" s="66"/>
    </row>
    <row r="112" spans="1:29" s="67" customFormat="1">
      <c r="A112" s="65">
        <f>VLOOKUP(B112,'서비스 Master'!$C$4:$D$62,2,FALSE)</f>
        <v>49</v>
      </c>
      <c r="B112" s="66" t="s">
        <v>361</v>
      </c>
      <c r="C112" s="65" t="str">
        <f>VLOOKUP(B112,'서비스 Master'!$C$4:$P$62,14,FALSE)</f>
        <v>명진</v>
      </c>
      <c r="D112" s="65" t="str">
        <f>VLOOKUP(B112,'서비스 Master'!$C$4:$P$62,10,FALSE)</f>
        <v>오성민</v>
      </c>
      <c r="E112" s="65" t="str">
        <f>VLOOKUP(B112,'서비스 Master'!$C$4:$P$62,11,FALSE)</f>
        <v>김광원 외 13명</v>
      </c>
      <c r="F112" s="66" t="s">
        <v>97</v>
      </c>
      <c r="G112" s="66" t="s">
        <v>485</v>
      </c>
      <c r="H112" s="66" t="s">
        <v>661</v>
      </c>
      <c r="I112" s="66"/>
      <c r="J112" s="66" t="s">
        <v>662</v>
      </c>
      <c r="K112" s="176"/>
      <c r="L112" s="176"/>
      <c r="M112" s="94"/>
      <c r="N112" s="94"/>
      <c r="O112" s="95"/>
      <c r="P112" s="220" t="s">
        <v>973</v>
      </c>
      <c r="Q112" s="151"/>
      <c r="R112" s="158" t="s">
        <v>448</v>
      </c>
      <c r="S112" s="66"/>
      <c r="T112" s="66"/>
      <c r="U112" s="66" t="s">
        <v>974</v>
      </c>
      <c r="V112" s="95" t="s">
        <v>975</v>
      </c>
      <c r="W112" s="131">
        <v>1527</v>
      </c>
      <c r="X112" s="168" t="s">
        <v>976</v>
      </c>
      <c r="Y112" s="120" t="s">
        <v>977</v>
      </c>
      <c r="Z112" s="66">
        <v>2890</v>
      </c>
      <c r="AA112" s="121" t="s">
        <v>978</v>
      </c>
      <c r="AB112" s="120" t="s">
        <v>979</v>
      </c>
      <c r="AC112" s="123"/>
    </row>
    <row r="113" spans="1:29" s="67" customFormat="1">
      <c r="A113" s="65">
        <f>VLOOKUP(B113,'서비스 Master'!$C$4:$D$62,2,FALSE)</f>
        <v>49</v>
      </c>
      <c r="B113" s="66" t="s">
        <v>361</v>
      </c>
      <c r="C113" s="65" t="str">
        <f>VLOOKUP(B113,'서비스 Master'!$C$4:$P$62,14,FALSE)</f>
        <v>명진</v>
      </c>
      <c r="D113" s="65" t="str">
        <f>VLOOKUP(B113,'서비스 Master'!$C$4:$P$62,10,FALSE)</f>
        <v>오성민</v>
      </c>
      <c r="E113" s="65" t="str">
        <f>VLOOKUP(B113,'서비스 Master'!$C$4:$P$62,11,FALSE)</f>
        <v>김광원 외 13명</v>
      </c>
      <c r="F113" s="66" t="s">
        <v>97</v>
      </c>
      <c r="G113" s="66" t="s">
        <v>440</v>
      </c>
      <c r="H113" s="66" t="s">
        <v>661</v>
      </c>
      <c r="I113" s="66"/>
      <c r="J113" s="66" t="s">
        <v>662</v>
      </c>
      <c r="K113" s="176"/>
      <c r="L113" s="176"/>
      <c r="M113" s="66"/>
      <c r="N113" s="66"/>
      <c r="O113" s="95"/>
      <c r="P113" s="220" t="s">
        <v>973</v>
      </c>
      <c r="Q113" s="151"/>
      <c r="R113" s="158" t="s">
        <v>448</v>
      </c>
      <c r="S113" s="66"/>
      <c r="T113" s="66"/>
      <c r="U113" s="66" t="s">
        <v>980</v>
      </c>
      <c r="V113" s="95" t="s">
        <v>981</v>
      </c>
      <c r="W113" s="131">
        <v>1527</v>
      </c>
      <c r="X113" s="168" t="s">
        <v>982</v>
      </c>
      <c r="Y113" s="120" t="s">
        <v>977</v>
      </c>
      <c r="Z113" s="66">
        <v>2350</v>
      </c>
      <c r="AA113" s="122" t="s">
        <v>978</v>
      </c>
      <c r="AB113" s="120" t="s">
        <v>983</v>
      </c>
      <c r="AC113" s="123"/>
    </row>
    <row r="114" spans="1:29" s="67" customFormat="1">
      <c r="A114" s="65">
        <f>VLOOKUP(B114,'서비스 Master'!$C$4:$D$62,2,FALSE)</f>
        <v>49</v>
      </c>
      <c r="B114" s="66" t="s">
        <v>361</v>
      </c>
      <c r="C114" s="65" t="str">
        <f>VLOOKUP(B114,'서비스 Master'!$C$4:$P$62,14,FALSE)</f>
        <v>명진</v>
      </c>
      <c r="D114" s="65" t="str">
        <f>VLOOKUP(B114,'서비스 Master'!$C$4:$P$62,10,FALSE)</f>
        <v>오성민</v>
      </c>
      <c r="E114" s="65" t="str">
        <f>VLOOKUP(B114,'서비스 Master'!$C$4:$P$62,11,FALSE)</f>
        <v>김광원 외 13명</v>
      </c>
      <c r="F114" s="66" t="s">
        <v>97</v>
      </c>
      <c r="G114" s="66" t="s">
        <v>440</v>
      </c>
      <c r="H114" s="66" t="s">
        <v>661</v>
      </c>
      <c r="I114" s="66"/>
      <c r="J114" s="66" t="s">
        <v>662</v>
      </c>
      <c r="K114" s="176"/>
      <c r="L114" s="176"/>
      <c r="M114" s="66"/>
      <c r="N114" s="66"/>
      <c r="O114" s="95"/>
      <c r="P114" s="220" t="s">
        <v>973</v>
      </c>
      <c r="Q114" s="151"/>
      <c r="R114" s="158" t="s">
        <v>448</v>
      </c>
      <c r="S114" s="66"/>
      <c r="T114" s="66"/>
      <c r="U114" s="66" t="s">
        <v>984</v>
      </c>
      <c r="V114" s="95" t="s">
        <v>985</v>
      </c>
      <c r="W114" s="131">
        <v>1527</v>
      </c>
      <c r="X114" s="168" t="s">
        <v>982</v>
      </c>
      <c r="Y114" s="120" t="s">
        <v>977</v>
      </c>
      <c r="Z114" s="66">
        <v>2350</v>
      </c>
      <c r="AA114" s="122" t="s">
        <v>978</v>
      </c>
      <c r="AB114" s="120" t="s">
        <v>986</v>
      </c>
      <c r="AC114" s="123"/>
    </row>
    <row r="115" spans="1:29" s="67" customFormat="1">
      <c r="A115" s="65">
        <f>VLOOKUP(B115,'서비스 Master'!$C$4:$D$62,2,FALSE)</f>
        <v>49</v>
      </c>
      <c r="B115" s="66" t="s">
        <v>361</v>
      </c>
      <c r="C115" s="65" t="str">
        <f>VLOOKUP(B115,'서비스 Master'!$C$4:$P$62,14,FALSE)</f>
        <v>명진</v>
      </c>
      <c r="D115" s="65" t="str">
        <f>VLOOKUP(B115,'서비스 Master'!$C$4:$P$62,10,FALSE)</f>
        <v>오성민</v>
      </c>
      <c r="E115" s="65" t="str">
        <f>VLOOKUP(B115,'서비스 Master'!$C$4:$P$62,11,FALSE)</f>
        <v>김광원 외 13명</v>
      </c>
      <c r="F115" s="66" t="s">
        <v>97</v>
      </c>
      <c r="G115" s="66" t="s">
        <v>987</v>
      </c>
      <c r="H115" s="66" t="s">
        <v>661</v>
      </c>
      <c r="I115" s="66"/>
      <c r="J115" s="66" t="s">
        <v>662</v>
      </c>
      <c r="K115" s="176"/>
      <c r="L115" s="176"/>
      <c r="M115" s="66"/>
      <c r="N115" s="66"/>
      <c r="O115" s="95"/>
      <c r="P115" s="220" t="s">
        <v>973</v>
      </c>
      <c r="Q115" s="151"/>
      <c r="R115" s="158" t="s">
        <v>448</v>
      </c>
      <c r="S115" s="66"/>
      <c r="T115" s="66"/>
      <c r="U115" s="66" t="s">
        <v>988</v>
      </c>
      <c r="V115" s="95" t="s">
        <v>989</v>
      </c>
      <c r="W115" s="131">
        <v>1527</v>
      </c>
      <c r="X115" s="168" t="s">
        <v>990</v>
      </c>
      <c r="Y115" s="120" t="s">
        <v>977</v>
      </c>
      <c r="Z115" s="66">
        <v>2270</v>
      </c>
      <c r="AA115" s="122" t="s">
        <v>978</v>
      </c>
      <c r="AB115" s="120" t="s">
        <v>991</v>
      </c>
      <c r="AC115" s="123"/>
    </row>
    <row r="116" spans="1:29" s="67" customFormat="1">
      <c r="A116" s="65">
        <f>VLOOKUP(B116,'서비스 Master'!$C$4:$D$62,2,FALSE)</f>
        <v>50</v>
      </c>
      <c r="B116" s="66" t="s">
        <v>370</v>
      </c>
      <c r="C116" s="65" t="str">
        <f>VLOOKUP(B116,'서비스 Master'!$C$4:$P$62,14,FALSE)</f>
        <v>명진</v>
      </c>
      <c r="D116" s="65" t="str">
        <f>VLOOKUP(B116,'서비스 Master'!$C$4:$P$62,10,FALSE)</f>
        <v>오성민</v>
      </c>
      <c r="E116" s="65" t="str">
        <f>VLOOKUP(B116,'서비스 Master'!$C$4:$P$62,11,FALSE)</f>
        <v>백새롬 외 2명</v>
      </c>
      <c r="F116" s="66" t="s">
        <v>97</v>
      </c>
      <c r="G116" s="66" t="s">
        <v>485</v>
      </c>
      <c r="H116" s="66" t="s">
        <v>661</v>
      </c>
      <c r="I116" s="66"/>
      <c r="J116" s="66" t="s">
        <v>662</v>
      </c>
      <c r="K116" s="176"/>
      <c r="L116" s="176"/>
      <c r="M116" s="66"/>
      <c r="N116" s="66"/>
      <c r="O116" s="95"/>
      <c r="P116" s="220" t="s">
        <v>973</v>
      </c>
      <c r="Q116" s="120"/>
      <c r="R116" s="158" t="s">
        <v>448</v>
      </c>
      <c r="S116" s="66"/>
      <c r="T116" s="66"/>
      <c r="U116" s="66" t="s">
        <v>992</v>
      </c>
      <c r="V116" s="95" t="s">
        <v>993</v>
      </c>
      <c r="W116" s="131">
        <v>1521</v>
      </c>
      <c r="X116" s="168" t="s">
        <v>994</v>
      </c>
      <c r="Y116" s="120" t="s">
        <v>977</v>
      </c>
      <c r="Z116" s="66">
        <v>192</v>
      </c>
      <c r="AA116" s="122" t="s">
        <v>978</v>
      </c>
      <c r="AB116" s="120" t="s">
        <v>995</v>
      </c>
      <c r="AC116" s="123"/>
    </row>
    <row r="117" spans="1:29" s="67" customFormat="1">
      <c r="A117" s="65">
        <f>VLOOKUP(B117,'서비스 Master'!$C$4:$D$62,2,FALSE)</f>
        <v>50</v>
      </c>
      <c r="B117" s="66" t="s">
        <v>370</v>
      </c>
      <c r="C117" s="65" t="str">
        <f>VLOOKUP(B117,'서비스 Master'!$C$4:$P$62,14,FALSE)</f>
        <v>명진</v>
      </c>
      <c r="D117" s="65" t="str">
        <f>VLOOKUP(B117,'서비스 Master'!$C$4:$P$62,10,FALSE)</f>
        <v>오성민</v>
      </c>
      <c r="E117" s="65" t="str">
        <f>VLOOKUP(B117,'서비스 Master'!$C$4:$P$62,11,FALSE)</f>
        <v>백새롬 외 2명</v>
      </c>
      <c r="F117" s="66" t="s">
        <v>97</v>
      </c>
      <c r="G117" s="66" t="s">
        <v>440</v>
      </c>
      <c r="H117" s="66" t="s">
        <v>661</v>
      </c>
      <c r="I117" s="66"/>
      <c r="J117" s="66" t="s">
        <v>662</v>
      </c>
      <c r="K117" s="176"/>
      <c r="L117" s="176"/>
      <c r="M117" s="66"/>
      <c r="N117" s="66"/>
      <c r="O117" s="95"/>
      <c r="P117" s="220" t="s">
        <v>973</v>
      </c>
      <c r="Q117" s="120" t="s">
        <v>996</v>
      </c>
      <c r="R117" s="158" t="s">
        <v>448</v>
      </c>
      <c r="S117" s="119" t="s">
        <v>449</v>
      </c>
      <c r="T117" s="66"/>
      <c r="U117" s="66" t="s">
        <v>997</v>
      </c>
      <c r="V117" s="95" t="s">
        <v>998</v>
      </c>
      <c r="W117" s="131">
        <v>1521</v>
      </c>
      <c r="X117" s="168" t="s">
        <v>999</v>
      </c>
      <c r="Y117" s="120" t="s">
        <v>977</v>
      </c>
      <c r="Z117" s="66">
        <v>118</v>
      </c>
      <c r="AA117" s="122" t="s">
        <v>978</v>
      </c>
      <c r="AB117" s="120" t="s">
        <v>1000</v>
      </c>
      <c r="AC117" s="123"/>
    </row>
    <row r="118" spans="1:29" s="67" customFormat="1">
      <c r="A118" s="65">
        <f>VLOOKUP(B118,'서비스 Master'!$C$4:$D$62,2,FALSE)</f>
        <v>50</v>
      </c>
      <c r="B118" s="66" t="s">
        <v>370</v>
      </c>
      <c r="C118" s="65" t="str">
        <f>VLOOKUP(B118,'서비스 Master'!$C$4:$P$62,14,FALSE)</f>
        <v>명진</v>
      </c>
      <c r="D118" s="65" t="str">
        <f>VLOOKUP(B118,'서비스 Master'!$C$4:$P$62,10,FALSE)</f>
        <v>오성민</v>
      </c>
      <c r="E118" s="65" t="str">
        <f>VLOOKUP(B118,'서비스 Master'!$C$4:$P$62,11,FALSE)</f>
        <v>백새롬 외 2명</v>
      </c>
      <c r="F118" s="66" t="s">
        <v>97</v>
      </c>
      <c r="G118" s="66" t="s">
        <v>440</v>
      </c>
      <c r="H118" s="66" t="s">
        <v>661</v>
      </c>
      <c r="I118" s="66"/>
      <c r="J118" s="66" t="s">
        <v>662</v>
      </c>
      <c r="K118" s="176"/>
      <c r="L118" s="176"/>
      <c r="M118" s="66"/>
      <c r="N118" s="66"/>
      <c r="O118" s="95"/>
      <c r="P118" s="220" t="s">
        <v>973</v>
      </c>
      <c r="Q118" s="120" t="s">
        <v>996</v>
      </c>
      <c r="R118" s="158" t="s">
        <v>448</v>
      </c>
      <c r="S118" s="119" t="s">
        <v>449</v>
      </c>
      <c r="T118" s="66"/>
      <c r="U118" s="66" t="s">
        <v>1001</v>
      </c>
      <c r="V118" s="95" t="s">
        <v>1002</v>
      </c>
      <c r="W118" s="131">
        <v>1521</v>
      </c>
      <c r="X118" s="168" t="s">
        <v>999</v>
      </c>
      <c r="Y118" s="120" t="s">
        <v>977</v>
      </c>
      <c r="Z118" s="66">
        <v>118</v>
      </c>
      <c r="AA118" s="122" t="s">
        <v>978</v>
      </c>
      <c r="AB118" s="120" t="s">
        <v>1003</v>
      </c>
      <c r="AC118" s="123"/>
    </row>
    <row r="119" spans="1:29" s="67" customFormat="1" ht="38.25">
      <c r="A119" s="65">
        <f>VLOOKUP(B119,'서비스 Master'!$C$4:$D$62,2,FALSE)</f>
        <v>51</v>
      </c>
      <c r="B119" s="66" t="s">
        <v>375</v>
      </c>
      <c r="C119" s="65" t="str">
        <f>VLOOKUP(B119,'서비스 Master'!$C$4:$P$62,14,FALSE)</f>
        <v>명진</v>
      </c>
      <c r="D119" s="65" t="str">
        <f>VLOOKUP(B119,'서비스 Master'!$C$4:$P$62,10,FALSE)</f>
        <v>오성민</v>
      </c>
      <c r="E119" s="65" t="str">
        <f>VLOOKUP(B119,'서비스 Master'!$C$4:$P$62,11,FALSE)</f>
        <v>안용주 외 2명</v>
      </c>
      <c r="F119" s="66" t="s">
        <v>97</v>
      </c>
      <c r="G119" s="66" t="s">
        <v>440</v>
      </c>
      <c r="H119" s="66" t="s">
        <v>661</v>
      </c>
      <c r="I119" s="66" t="s">
        <v>876</v>
      </c>
      <c r="J119" s="66" t="s">
        <v>662</v>
      </c>
      <c r="K119" s="176" t="s">
        <v>443</v>
      </c>
      <c r="L119" s="176"/>
      <c r="M119" s="66" t="s">
        <v>1004</v>
      </c>
      <c r="N119" s="66" t="s">
        <v>1005</v>
      </c>
      <c r="O119" s="66"/>
      <c r="P119" s="167" t="s">
        <v>470</v>
      </c>
      <c r="Q119" s="151"/>
      <c r="R119" s="158" t="s">
        <v>448</v>
      </c>
      <c r="S119" s="66"/>
      <c r="T119" s="66"/>
      <c r="U119" s="66"/>
      <c r="V119" s="66"/>
      <c r="W119" s="169" t="s">
        <v>1006</v>
      </c>
      <c r="X119" s="95" t="s">
        <v>1007</v>
      </c>
      <c r="Y119" s="120" t="s">
        <v>377</v>
      </c>
      <c r="Z119" s="66">
        <v>90</v>
      </c>
      <c r="AA119" s="122" t="s">
        <v>978</v>
      </c>
      <c r="AB119" s="120" t="s">
        <v>1008</v>
      </c>
      <c r="AC119" s="123"/>
    </row>
    <row r="120" spans="1:29" s="67" customFormat="1">
      <c r="A120" s="65">
        <f>VLOOKUP(B120,'서비스 Master'!$C$4:$D$62,2,FALSE)</f>
        <v>52</v>
      </c>
      <c r="B120" s="66" t="s">
        <v>1009</v>
      </c>
      <c r="C120" s="65" t="str">
        <f>VLOOKUP(B120,'서비스 Master'!$C$4:$P$62,14,FALSE)</f>
        <v>김햇빛</v>
      </c>
      <c r="D120" s="65" t="str">
        <f>VLOOKUP(B120,'서비스 Master'!$C$4:$P$62,10,FALSE)</f>
        <v>홍원기</v>
      </c>
      <c r="E120" s="65" t="str">
        <f>VLOOKUP(B120,'서비스 Master'!$C$4:$P$62,11,FALSE)</f>
        <v>she</v>
      </c>
      <c r="F120" s="66" t="s">
        <v>97</v>
      </c>
      <c r="G120" s="66" t="s">
        <v>440</v>
      </c>
      <c r="H120" s="66" t="s">
        <v>661</v>
      </c>
      <c r="I120" s="66"/>
      <c r="J120" s="66" t="s">
        <v>493</v>
      </c>
      <c r="K120" s="176"/>
      <c r="L120" s="176"/>
      <c r="M120" s="66" t="s">
        <v>1010</v>
      </c>
      <c r="N120" s="66" t="s">
        <v>1011</v>
      </c>
      <c r="O120" s="66"/>
      <c r="P120" s="95" t="s">
        <v>470</v>
      </c>
      <c r="Q120" s="151"/>
      <c r="R120" s="158" t="s">
        <v>448</v>
      </c>
      <c r="S120" s="66"/>
      <c r="T120" s="66"/>
      <c r="U120" s="66"/>
      <c r="V120" s="66"/>
      <c r="W120" s="66"/>
      <c r="X120" s="66"/>
      <c r="Y120" s="94"/>
      <c r="Z120" s="94"/>
      <c r="AA120" s="94"/>
      <c r="AB120" s="94" t="s">
        <v>1012</v>
      </c>
      <c r="AC120" s="66"/>
    </row>
    <row r="121" spans="1:29" s="67" customFormat="1">
      <c r="A121" s="65">
        <f>VLOOKUP(B121,'서비스 Master'!$C$4:$D$62,2,FALSE)</f>
        <v>52</v>
      </c>
      <c r="B121" s="66" t="s">
        <v>1009</v>
      </c>
      <c r="C121" s="65" t="str">
        <f>VLOOKUP(B121,'서비스 Master'!$C$4:$P$62,14,FALSE)</f>
        <v>김햇빛</v>
      </c>
      <c r="D121" s="65" t="str">
        <f>VLOOKUP(B121,'서비스 Master'!$C$4:$P$62,10,FALSE)</f>
        <v>홍원기</v>
      </c>
      <c r="E121" s="65" t="str">
        <f>VLOOKUP(B121,'서비스 Master'!$C$4:$P$62,11,FALSE)</f>
        <v>she</v>
      </c>
      <c r="F121" s="2" t="s">
        <v>97</v>
      </c>
      <c r="G121" s="66" t="s">
        <v>440</v>
      </c>
      <c r="H121" s="66" t="s">
        <v>661</v>
      </c>
      <c r="I121" s="66"/>
      <c r="J121" s="66" t="s">
        <v>493</v>
      </c>
      <c r="K121" s="176"/>
      <c r="L121" s="176"/>
      <c r="M121" s="66" t="s">
        <v>1013</v>
      </c>
      <c r="N121" s="66" t="s">
        <v>1014</v>
      </c>
      <c r="O121" s="66"/>
      <c r="P121" s="95" t="s">
        <v>470</v>
      </c>
      <c r="Q121" s="151"/>
      <c r="R121" s="158" t="s">
        <v>448</v>
      </c>
      <c r="S121" s="66"/>
      <c r="T121" s="66"/>
      <c r="U121" s="66"/>
      <c r="V121" s="66"/>
      <c r="W121" s="66"/>
      <c r="X121" s="66"/>
      <c r="Y121" s="66"/>
      <c r="Z121" s="66"/>
      <c r="AA121" s="66"/>
      <c r="AB121" s="66" t="s">
        <v>1012</v>
      </c>
      <c r="AC121" s="66"/>
    </row>
    <row r="122" spans="1:29" s="67" customFormat="1" ht="16.5">
      <c r="A122" s="65">
        <f>VLOOKUP(B122,'서비스 Master'!$C$4:$D$62,2,FALSE)</f>
        <v>52</v>
      </c>
      <c r="B122" s="66" t="s">
        <v>1009</v>
      </c>
      <c r="C122" s="65" t="str">
        <f>VLOOKUP(B122,'서비스 Master'!$C$4:$P$62,14,FALSE)</f>
        <v>김햇빛</v>
      </c>
      <c r="D122" s="65" t="str">
        <f>VLOOKUP(B122,'서비스 Master'!$C$4:$P$62,10,FALSE)</f>
        <v>홍원기</v>
      </c>
      <c r="E122" s="65" t="str">
        <f>VLOOKUP(B122,'서비스 Master'!$C$4:$P$62,11,FALSE)</f>
        <v>she</v>
      </c>
      <c r="F122" s="2" t="s">
        <v>97</v>
      </c>
      <c r="G122" s="66" t="s">
        <v>440</v>
      </c>
      <c r="H122" s="66" t="s">
        <v>661</v>
      </c>
      <c r="I122" s="66" t="s">
        <v>876</v>
      </c>
      <c r="J122" s="66" t="s">
        <v>493</v>
      </c>
      <c r="K122" s="176" t="s">
        <v>443</v>
      </c>
      <c r="L122" s="176"/>
      <c r="M122" s="66" t="s">
        <v>1015</v>
      </c>
      <c r="N122" s="66" t="s">
        <v>1016</v>
      </c>
      <c r="O122" s="66"/>
      <c r="P122" s="95" t="s">
        <v>470</v>
      </c>
      <c r="Q122" s="153" t="s">
        <v>1017</v>
      </c>
      <c r="R122" s="158" t="s">
        <v>448</v>
      </c>
      <c r="S122" s="66" t="s">
        <v>449</v>
      </c>
      <c r="T122" s="66" t="s">
        <v>1018</v>
      </c>
      <c r="U122" s="66"/>
      <c r="V122" s="66"/>
      <c r="W122" s="66"/>
      <c r="X122" s="66"/>
      <c r="Y122" s="66"/>
      <c r="Z122" s="66"/>
      <c r="AA122" s="66"/>
      <c r="AB122" s="66" t="s">
        <v>1019</v>
      </c>
      <c r="AC122" s="66"/>
    </row>
    <row r="123" spans="1:29" s="67" customFormat="1" ht="16.5">
      <c r="A123" s="65">
        <f>VLOOKUP(B123,'서비스 Master'!$C$4:$D$62,2,FALSE)</f>
        <v>52</v>
      </c>
      <c r="B123" s="66" t="s">
        <v>1009</v>
      </c>
      <c r="C123" s="65" t="str">
        <f>VLOOKUP(B123,'서비스 Master'!$C$4:$P$62,14,FALSE)</f>
        <v>김햇빛</v>
      </c>
      <c r="D123" s="65" t="str">
        <f>VLOOKUP(B123,'서비스 Master'!$C$4:$P$62,10,FALSE)</f>
        <v>홍원기</v>
      </c>
      <c r="E123" s="65" t="str">
        <f>VLOOKUP(B123,'서비스 Master'!$C$4:$P$62,11,FALSE)</f>
        <v>she</v>
      </c>
      <c r="F123" s="2" t="s">
        <v>97</v>
      </c>
      <c r="G123" s="66" t="s">
        <v>440</v>
      </c>
      <c r="H123" s="66" t="s">
        <v>661</v>
      </c>
      <c r="I123" s="66" t="s">
        <v>876</v>
      </c>
      <c r="J123" s="66" t="s">
        <v>493</v>
      </c>
      <c r="K123" s="176" t="s">
        <v>443</v>
      </c>
      <c r="L123" s="176"/>
      <c r="M123" s="66" t="s">
        <v>1020</v>
      </c>
      <c r="N123" s="66" t="s">
        <v>1021</v>
      </c>
      <c r="O123" s="66"/>
      <c r="P123" s="95" t="s">
        <v>470</v>
      </c>
      <c r="Q123" s="153" t="s">
        <v>1022</v>
      </c>
      <c r="R123" s="158" t="s">
        <v>448</v>
      </c>
      <c r="S123" s="66" t="s">
        <v>449</v>
      </c>
      <c r="T123" s="66" t="s">
        <v>1018</v>
      </c>
      <c r="U123" s="66"/>
      <c r="V123" s="66"/>
      <c r="W123" s="66"/>
      <c r="X123" s="66"/>
      <c r="Y123" s="66"/>
      <c r="Z123" s="66"/>
      <c r="AA123" s="66"/>
      <c r="AB123" s="66" t="s">
        <v>1023</v>
      </c>
      <c r="AC123" s="66"/>
    </row>
    <row r="124" spans="1:29" s="67" customFormat="1" ht="16.5">
      <c r="A124" s="65">
        <f>VLOOKUP(B124,'서비스 Master'!$C$4:$D$62,2,FALSE)</f>
        <v>52</v>
      </c>
      <c r="B124" s="66" t="s">
        <v>1009</v>
      </c>
      <c r="C124" s="65" t="str">
        <f>VLOOKUP(B124,'서비스 Master'!$C$4:$P$62,14,FALSE)</f>
        <v>김햇빛</v>
      </c>
      <c r="D124" s="65" t="str">
        <f>VLOOKUP(B124,'서비스 Master'!$C$4:$P$62,10,FALSE)</f>
        <v>홍원기</v>
      </c>
      <c r="E124" s="65" t="str">
        <f>VLOOKUP(B124,'서비스 Master'!$C$4:$P$62,11,FALSE)</f>
        <v>she</v>
      </c>
      <c r="F124" s="2" t="s">
        <v>97</v>
      </c>
      <c r="G124" s="66" t="s">
        <v>440</v>
      </c>
      <c r="H124" s="66" t="s">
        <v>661</v>
      </c>
      <c r="I124" s="66" t="s">
        <v>876</v>
      </c>
      <c r="J124" s="66" t="s">
        <v>421</v>
      </c>
      <c r="K124" s="176" t="s">
        <v>443</v>
      </c>
      <c r="L124" s="176"/>
      <c r="M124" s="66" t="s">
        <v>1024</v>
      </c>
      <c r="N124" s="214" t="s">
        <v>1025</v>
      </c>
      <c r="O124" s="66"/>
      <c r="P124" s="95" t="s">
        <v>470</v>
      </c>
      <c r="Q124" s="153" t="s">
        <v>1026</v>
      </c>
      <c r="R124" s="158" t="s">
        <v>448</v>
      </c>
      <c r="S124" s="66" t="s">
        <v>449</v>
      </c>
      <c r="T124" s="66" t="s">
        <v>1018</v>
      </c>
      <c r="U124" s="66" t="s">
        <v>833</v>
      </c>
      <c r="V124" s="66" t="s">
        <v>452</v>
      </c>
      <c r="W124" s="66"/>
      <c r="X124" s="66" t="s">
        <v>1027</v>
      </c>
      <c r="Y124" s="66"/>
      <c r="Z124" s="66"/>
      <c r="AA124" s="66"/>
      <c r="AB124" s="66" t="s">
        <v>1028</v>
      </c>
      <c r="AC124" s="66"/>
    </row>
    <row r="125" spans="1:29" s="67" customFormat="1" ht="16.5">
      <c r="A125" s="65">
        <f>VLOOKUP(B125,'서비스 Master'!$C$4:$D$62,2,FALSE)</f>
        <v>52</v>
      </c>
      <c r="B125" s="66" t="s">
        <v>1009</v>
      </c>
      <c r="C125" s="65" t="str">
        <f>VLOOKUP(B125,'서비스 Master'!$C$4:$P$62,14,FALSE)</f>
        <v>김햇빛</v>
      </c>
      <c r="D125" s="65" t="str">
        <f>VLOOKUP(B125,'서비스 Master'!$C$4:$P$62,10,FALSE)</f>
        <v>홍원기</v>
      </c>
      <c r="E125" s="65" t="str">
        <f>VLOOKUP(B125,'서비스 Master'!$C$4:$P$62,11,FALSE)</f>
        <v>she</v>
      </c>
      <c r="F125" s="2" t="s">
        <v>97</v>
      </c>
      <c r="G125" s="66" t="s">
        <v>440</v>
      </c>
      <c r="H125" s="66" t="s">
        <v>661</v>
      </c>
      <c r="I125" s="66" t="s">
        <v>876</v>
      </c>
      <c r="J125" s="66" t="s">
        <v>421</v>
      </c>
      <c r="K125" s="176" t="s">
        <v>443</v>
      </c>
      <c r="L125" s="176"/>
      <c r="M125" s="66" t="s">
        <v>1029</v>
      </c>
      <c r="N125" s="214" t="s">
        <v>1030</v>
      </c>
      <c r="O125" s="66"/>
      <c r="P125" s="95" t="s">
        <v>470</v>
      </c>
      <c r="Q125" s="153" t="s">
        <v>1026</v>
      </c>
      <c r="R125" s="158" t="s">
        <v>448</v>
      </c>
      <c r="S125" s="66" t="s">
        <v>449</v>
      </c>
      <c r="T125" s="66" t="s">
        <v>1018</v>
      </c>
      <c r="U125" s="66" t="s">
        <v>833</v>
      </c>
      <c r="V125" s="66" t="s">
        <v>452</v>
      </c>
      <c r="W125" s="66"/>
      <c r="X125" s="66" t="s">
        <v>1027</v>
      </c>
      <c r="Y125" s="66"/>
      <c r="Z125" s="66"/>
      <c r="AA125" s="66"/>
      <c r="AB125" s="66" t="s">
        <v>1031</v>
      </c>
      <c r="AC125" s="66"/>
    </row>
    <row r="126" spans="1:29" s="67" customFormat="1" ht="16.5">
      <c r="A126" s="65">
        <f>VLOOKUP(B126,'서비스 Master'!$C$4:$D$62,2,FALSE)</f>
        <v>52</v>
      </c>
      <c r="B126" s="66" t="s">
        <v>1009</v>
      </c>
      <c r="C126" s="65" t="str">
        <f>VLOOKUP(B126,'서비스 Master'!$C$4:$P$62,14,FALSE)</f>
        <v>김햇빛</v>
      </c>
      <c r="D126" s="65" t="str">
        <f>VLOOKUP(B126,'서비스 Master'!$C$4:$P$62,10,FALSE)</f>
        <v>홍원기</v>
      </c>
      <c r="E126" s="65" t="str">
        <f>VLOOKUP(B126,'서비스 Master'!$C$4:$P$62,11,FALSE)</f>
        <v>she</v>
      </c>
      <c r="F126" s="2" t="s">
        <v>97</v>
      </c>
      <c r="G126" s="66" t="s">
        <v>440</v>
      </c>
      <c r="H126" s="66" t="s">
        <v>661</v>
      </c>
      <c r="I126" s="66" t="s">
        <v>885</v>
      </c>
      <c r="J126" s="66" t="s">
        <v>421</v>
      </c>
      <c r="K126" s="176" t="s">
        <v>443</v>
      </c>
      <c r="L126" s="176"/>
      <c r="M126" s="66" t="s">
        <v>1032</v>
      </c>
      <c r="N126" s="214" t="s">
        <v>1033</v>
      </c>
      <c r="O126" s="66"/>
      <c r="P126" s="95" t="s">
        <v>470</v>
      </c>
      <c r="Q126" s="153" t="s">
        <v>1034</v>
      </c>
      <c r="R126" s="158" t="s">
        <v>448</v>
      </c>
      <c r="S126" s="66" t="s">
        <v>449</v>
      </c>
      <c r="T126" s="66" t="s">
        <v>1018</v>
      </c>
      <c r="U126" s="66"/>
      <c r="V126" s="66"/>
      <c r="W126" s="66"/>
      <c r="X126" s="66"/>
      <c r="Y126" s="66"/>
      <c r="Z126" s="66"/>
      <c r="AA126" s="66"/>
      <c r="AB126" s="66" t="s">
        <v>1035</v>
      </c>
      <c r="AC126" s="66"/>
    </row>
    <row r="127" spans="1:29" s="67" customFormat="1">
      <c r="A127" s="65">
        <f>VLOOKUP(B127,'서비스 Master'!$C$4:$D$62,2,FALSE)</f>
        <v>52</v>
      </c>
      <c r="B127" s="66" t="s">
        <v>1009</v>
      </c>
      <c r="C127" s="65" t="str">
        <f>VLOOKUP(B127,'서비스 Master'!$C$4:$P$62,14,FALSE)</f>
        <v>김햇빛</v>
      </c>
      <c r="D127" s="65" t="str">
        <f>VLOOKUP(B127,'서비스 Master'!$C$4:$P$62,10,FALSE)</f>
        <v>홍원기</v>
      </c>
      <c r="E127" s="65" t="str">
        <f>VLOOKUP(B127,'서비스 Master'!$C$4:$P$62,11,FALSE)</f>
        <v>she</v>
      </c>
      <c r="F127" s="2" t="s">
        <v>97</v>
      </c>
      <c r="G127" s="66" t="s">
        <v>440</v>
      </c>
      <c r="H127" s="66" t="s">
        <v>661</v>
      </c>
      <c r="I127" s="66" t="s">
        <v>885</v>
      </c>
      <c r="J127" s="66" t="s">
        <v>493</v>
      </c>
      <c r="K127" s="176" t="s">
        <v>443</v>
      </c>
      <c r="L127" s="176"/>
      <c r="M127" s="66" t="s">
        <v>1036</v>
      </c>
      <c r="N127" s="66" t="s">
        <v>1037</v>
      </c>
      <c r="O127" s="66"/>
      <c r="P127" s="95" t="s">
        <v>470</v>
      </c>
      <c r="Q127" s="151"/>
      <c r="R127" s="158" t="s">
        <v>448</v>
      </c>
      <c r="S127" s="66"/>
      <c r="T127" s="66"/>
      <c r="U127" s="66"/>
      <c r="V127" s="66"/>
      <c r="W127" s="66"/>
      <c r="X127" s="66"/>
      <c r="Y127" s="66"/>
      <c r="Z127" s="66"/>
      <c r="AA127" s="66"/>
      <c r="AB127" s="66" t="s">
        <v>1038</v>
      </c>
      <c r="AC127" s="66"/>
    </row>
    <row r="128" spans="1:29" s="67" customFormat="1">
      <c r="A128" s="65">
        <f>VLOOKUP(B128,'서비스 Master'!$C$4:$D$62,2,FALSE)</f>
        <v>52</v>
      </c>
      <c r="B128" s="66" t="s">
        <v>1009</v>
      </c>
      <c r="C128" s="65" t="str">
        <f>VLOOKUP(B128,'서비스 Master'!$C$4:$P$62,14,FALSE)</f>
        <v>김햇빛</v>
      </c>
      <c r="D128" s="65" t="str">
        <f>VLOOKUP(B128,'서비스 Master'!$C$4:$P$62,10,FALSE)</f>
        <v>홍원기</v>
      </c>
      <c r="E128" s="65" t="str">
        <f>VLOOKUP(B128,'서비스 Master'!$C$4:$P$62,11,FALSE)</f>
        <v>she</v>
      </c>
      <c r="F128" s="2" t="s">
        <v>97</v>
      </c>
      <c r="G128" s="66" t="s">
        <v>440</v>
      </c>
      <c r="H128" s="66" t="s">
        <v>661</v>
      </c>
      <c r="I128" s="66" t="s">
        <v>885</v>
      </c>
      <c r="J128" s="66" t="s">
        <v>493</v>
      </c>
      <c r="K128" s="176" t="s">
        <v>443</v>
      </c>
      <c r="L128" s="176"/>
      <c r="M128" s="66" t="s">
        <v>1039</v>
      </c>
      <c r="N128" s="66" t="s">
        <v>1040</v>
      </c>
      <c r="O128" s="66"/>
      <c r="P128" s="95" t="s">
        <v>470</v>
      </c>
      <c r="Q128" s="151"/>
      <c r="R128" s="158" t="s">
        <v>448</v>
      </c>
      <c r="S128" s="66"/>
      <c r="T128" s="66"/>
      <c r="U128" s="66"/>
      <c r="V128" s="66"/>
      <c r="W128" s="66"/>
      <c r="X128" s="66"/>
      <c r="Y128" s="66"/>
      <c r="Z128" s="66"/>
      <c r="AA128" s="66"/>
      <c r="AB128" s="66" t="s">
        <v>1041</v>
      </c>
      <c r="AC128" s="66"/>
    </row>
    <row r="129" spans="1:29" s="67" customFormat="1" ht="16.5">
      <c r="A129" s="65">
        <f>VLOOKUP(B129,'서비스 Master'!$C$4:$D$62,2,FALSE)</f>
        <v>52</v>
      </c>
      <c r="B129" s="66" t="s">
        <v>1009</v>
      </c>
      <c r="C129" s="65" t="str">
        <f>VLOOKUP(B129,'서비스 Master'!$C$4:$P$62,14,FALSE)</f>
        <v>김햇빛</v>
      </c>
      <c r="D129" s="65" t="str">
        <f>VLOOKUP(B129,'서비스 Master'!$C$4:$P$62,10,FALSE)</f>
        <v>홍원기</v>
      </c>
      <c r="E129" s="65" t="str">
        <f>VLOOKUP(B129,'서비스 Master'!$C$4:$P$62,11,FALSE)</f>
        <v>she</v>
      </c>
      <c r="F129" s="2" t="s">
        <v>97</v>
      </c>
      <c r="G129" s="66" t="s">
        <v>440</v>
      </c>
      <c r="H129" s="66" t="s">
        <v>661</v>
      </c>
      <c r="I129" s="66" t="s">
        <v>876</v>
      </c>
      <c r="J129" s="66" t="s">
        <v>421</v>
      </c>
      <c r="K129" s="176" t="s">
        <v>443</v>
      </c>
      <c r="L129" s="176"/>
      <c r="M129" s="66" t="s">
        <v>1042</v>
      </c>
      <c r="N129" s="214" t="s">
        <v>1043</v>
      </c>
      <c r="O129" s="66"/>
      <c r="P129" s="95" t="s">
        <v>470</v>
      </c>
      <c r="Q129" s="153" t="s">
        <v>1044</v>
      </c>
      <c r="R129" s="158" t="s">
        <v>448</v>
      </c>
      <c r="S129" s="66" t="s">
        <v>449</v>
      </c>
      <c r="T129" s="66" t="s">
        <v>1018</v>
      </c>
      <c r="U129" s="66"/>
      <c r="V129" s="66"/>
      <c r="W129" s="66"/>
      <c r="X129" s="66"/>
      <c r="Y129" s="66"/>
      <c r="Z129" s="66"/>
      <c r="AA129" s="66"/>
      <c r="AB129" s="66" t="s">
        <v>1045</v>
      </c>
      <c r="AC129" s="66"/>
    </row>
    <row r="130" spans="1:29" s="67" customFormat="1" ht="16.5">
      <c r="A130" s="65">
        <f>VLOOKUP(B130,'서비스 Master'!$C$4:$D$62,2,FALSE)</f>
        <v>52</v>
      </c>
      <c r="B130" s="66" t="s">
        <v>1009</v>
      </c>
      <c r="C130" s="65" t="str">
        <f>VLOOKUP(B130,'서비스 Master'!$C$4:$P$62,14,FALSE)</f>
        <v>김햇빛</v>
      </c>
      <c r="D130" s="65" t="str">
        <f>VLOOKUP(B130,'서비스 Master'!$C$4:$P$62,10,FALSE)</f>
        <v>홍원기</v>
      </c>
      <c r="E130" s="65" t="str">
        <f>VLOOKUP(B130,'서비스 Master'!$C$4:$P$62,11,FALSE)</f>
        <v>she</v>
      </c>
      <c r="F130" s="2" t="s">
        <v>97</v>
      </c>
      <c r="G130" s="66" t="s">
        <v>440</v>
      </c>
      <c r="H130" s="66" t="s">
        <v>661</v>
      </c>
      <c r="I130" s="66" t="s">
        <v>876</v>
      </c>
      <c r="J130" s="66" t="s">
        <v>421</v>
      </c>
      <c r="K130" s="176" t="s">
        <v>443</v>
      </c>
      <c r="L130" s="176"/>
      <c r="M130" s="66" t="s">
        <v>1046</v>
      </c>
      <c r="N130" s="214" t="s">
        <v>1047</v>
      </c>
      <c r="O130" s="66"/>
      <c r="P130" s="95" t="s">
        <v>470</v>
      </c>
      <c r="Q130" s="153" t="s">
        <v>1044</v>
      </c>
      <c r="R130" s="158" t="s">
        <v>448</v>
      </c>
      <c r="S130" s="66" t="s">
        <v>449</v>
      </c>
      <c r="T130" s="66" t="s">
        <v>1018</v>
      </c>
      <c r="U130" s="66"/>
      <c r="V130" s="66"/>
      <c r="W130" s="66"/>
      <c r="X130" s="66"/>
      <c r="Y130" s="66"/>
      <c r="Z130" s="66"/>
      <c r="AA130" s="66"/>
      <c r="AB130" s="66" t="s">
        <v>1048</v>
      </c>
      <c r="AC130" s="66"/>
    </row>
    <row r="131" spans="1:29" s="67" customFormat="1">
      <c r="A131" s="65">
        <f>VLOOKUP(B131,'서비스 Master'!$C$4:$D$62,2,FALSE)</f>
        <v>52</v>
      </c>
      <c r="B131" s="66" t="s">
        <v>1009</v>
      </c>
      <c r="C131" s="65" t="str">
        <f>VLOOKUP(B131,'서비스 Master'!$C$4:$P$62,14,FALSE)</f>
        <v>김햇빛</v>
      </c>
      <c r="D131" s="65" t="str">
        <f>VLOOKUP(B131,'서비스 Master'!$C$4:$P$62,10,FALSE)</f>
        <v>홍원기</v>
      </c>
      <c r="E131" s="65" t="str">
        <f>VLOOKUP(B131,'서비스 Master'!$C$4:$P$62,11,FALSE)</f>
        <v>she</v>
      </c>
      <c r="F131" s="2" t="s">
        <v>97</v>
      </c>
      <c r="G131" s="66"/>
      <c r="H131" s="66" t="s">
        <v>661</v>
      </c>
      <c r="I131" s="66"/>
      <c r="J131" s="66"/>
      <c r="K131" s="176"/>
      <c r="L131" s="176"/>
      <c r="M131" s="66"/>
      <c r="N131" s="66"/>
      <c r="O131" s="66"/>
      <c r="P131" s="95"/>
      <c r="Q131" s="151"/>
      <c r="R131" s="158"/>
      <c r="S131" s="66"/>
      <c r="T131" s="66"/>
      <c r="U131" s="66" t="s">
        <v>1049</v>
      </c>
      <c r="V131" s="66" t="s">
        <v>1050</v>
      </c>
      <c r="W131" s="66"/>
      <c r="X131" s="66"/>
      <c r="Y131" s="66" t="s">
        <v>96</v>
      </c>
      <c r="Z131" s="66"/>
      <c r="AA131" s="66"/>
      <c r="AB131" s="66" t="s">
        <v>1051</v>
      </c>
      <c r="AC131" s="66"/>
    </row>
    <row r="132" spans="1:29" s="67" customFormat="1">
      <c r="A132" s="65">
        <f>VLOOKUP(B132,'서비스 Master'!$C$4:$D$62,2,FALSE)</f>
        <v>52</v>
      </c>
      <c r="B132" s="66" t="s">
        <v>1009</v>
      </c>
      <c r="C132" s="65" t="str">
        <f>VLOOKUP(B132,'서비스 Master'!$C$4:$P$62,14,FALSE)</f>
        <v>김햇빛</v>
      </c>
      <c r="D132" s="65" t="str">
        <f>VLOOKUP(B132,'서비스 Master'!$C$4:$P$62,10,FALSE)</f>
        <v>홍원기</v>
      </c>
      <c r="E132" s="65" t="str">
        <f>VLOOKUP(B132,'서비스 Master'!$C$4:$P$62,11,FALSE)</f>
        <v>she</v>
      </c>
      <c r="F132" s="2" t="s">
        <v>97</v>
      </c>
      <c r="G132" s="66"/>
      <c r="H132" s="66" t="s">
        <v>661</v>
      </c>
      <c r="I132" s="66"/>
      <c r="J132" s="66"/>
      <c r="K132" s="176"/>
      <c r="L132" s="176"/>
      <c r="M132" s="66"/>
      <c r="N132" s="66"/>
      <c r="O132" s="66"/>
      <c r="P132" s="95"/>
      <c r="Q132" s="151"/>
      <c r="R132" s="158"/>
      <c r="S132" s="66"/>
      <c r="T132" s="66"/>
      <c r="U132" s="66" t="s">
        <v>1052</v>
      </c>
      <c r="V132" s="66" t="s">
        <v>1053</v>
      </c>
      <c r="W132" s="66"/>
      <c r="X132" s="66"/>
      <c r="Y132" s="66" t="s">
        <v>96</v>
      </c>
      <c r="Z132" s="66"/>
      <c r="AA132" s="66"/>
      <c r="AB132" s="66" t="s">
        <v>1054</v>
      </c>
      <c r="AC132" s="66"/>
    </row>
    <row r="133" spans="1:29" s="67" customFormat="1">
      <c r="A133" s="65">
        <f>VLOOKUP(B133,'서비스 Master'!$C$4:$D$62,2,FALSE)</f>
        <v>53</v>
      </c>
      <c r="B133" s="66" t="s">
        <v>388</v>
      </c>
      <c r="C133" s="65" t="str">
        <f>VLOOKUP(B133,'서비스 Master'!$C$4:$P$62,14,FALSE)</f>
        <v>김햇빛</v>
      </c>
      <c r="D133" s="65" t="str">
        <f>VLOOKUP(B133,'서비스 Master'!$C$4:$P$62,10,FALSE)</f>
        <v>이보람</v>
      </c>
      <c r="E133" s="65" t="str">
        <f>VLOOKUP(B133,'서비스 Master'!$C$4:$P$62,11,FALSE)</f>
        <v>김영선/고현종</v>
      </c>
      <c r="F133" s="2" t="s">
        <v>97</v>
      </c>
      <c r="G133" s="66" t="s">
        <v>440</v>
      </c>
      <c r="H133" s="66" t="s">
        <v>661</v>
      </c>
      <c r="I133" s="66"/>
      <c r="J133" s="66" t="s">
        <v>421</v>
      </c>
      <c r="K133" s="176"/>
      <c r="L133" s="176"/>
      <c r="M133" s="66" t="s">
        <v>1055</v>
      </c>
      <c r="N133" s="66" t="s">
        <v>1056</v>
      </c>
      <c r="O133" s="66"/>
      <c r="P133" s="95" t="s">
        <v>446</v>
      </c>
      <c r="Q133" s="153" t="s">
        <v>1057</v>
      </c>
      <c r="R133" s="158" t="s">
        <v>448</v>
      </c>
      <c r="S133" s="66" t="s">
        <v>1058</v>
      </c>
      <c r="T133" s="66" t="s">
        <v>1059</v>
      </c>
      <c r="U133" s="66" t="s">
        <v>1060</v>
      </c>
      <c r="V133" s="66" t="s">
        <v>1056</v>
      </c>
      <c r="W133" s="66"/>
      <c r="X133" s="66"/>
      <c r="Y133" s="66" t="s">
        <v>1061</v>
      </c>
      <c r="Z133" s="133">
        <v>822</v>
      </c>
      <c r="AA133" s="66"/>
      <c r="AB133" s="66" t="s">
        <v>1062</v>
      </c>
      <c r="AC133" s="66" t="s">
        <v>1063</v>
      </c>
    </row>
    <row r="134" spans="1:29" s="67" customFormat="1">
      <c r="A134" s="65">
        <f>VLOOKUP(B134,'서비스 Master'!$C$4:$D$62,2,FALSE)</f>
        <v>53</v>
      </c>
      <c r="B134" s="66" t="s">
        <v>388</v>
      </c>
      <c r="C134" s="65" t="str">
        <f>VLOOKUP(B134,'서비스 Master'!$C$4:$P$62,14,FALSE)</f>
        <v>김햇빛</v>
      </c>
      <c r="D134" s="65" t="str">
        <f>VLOOKUP(B134,'서비스 Master'!$C$4:$P$62,10,FALSE)</f>
        <v>이보람</v>
      </c>
      <c r="E134" s="65" t="str">
        <f>VLOOKUP(B134,'서비스 Master'!$C$4:$P$62,11,FALSE)</f>
        <v>김영선/고현종</v>
      </c>
      <c r="F134" s="2" t="s">
        <v>97</v>
      </c>
      <c r="G134" s="66" t="s">
        <v>440</v>
      </c>
      <c r="H134" s="66" t="s">
        <v>661</v>
      </c>
      <c r="I134" s="66"/>
      <c r="J134" s="66" t="s">
        <v>421</v>
      </c>
      <c r="K134" s="176"/>
      <c r="L134" s="176"/>
      <c r="M134" s="66" t="s">
        <v>1064</v>
      </c>
      <c r="N134" s="66" t="s">
        <v>1065</v>
      </c>
      <c r="O134" s="66"/>
      <c r="P134" s="95" t="s">
        <v>446</v>
      </c>
      <c r="Q134" s="153" t="s">
        <v>1066</v>
      </c>
      <c r="R134" s="158" t="s">
        <v>448</v>
      </c>
      <c r="S134" s="66" t="s">
        <v>1058</v>
      </c>
      <c r="T134" s="66" t="s">
        <v>1059</v>
      </c>
      <c r="U134" s="66" t="s">
        <v>1067</v>
      </c>
      <c r="V134" s="66" t="s">
        <v>1065</v>
      </c>
      <c r="W134" s="66"/>
      <c r="X134" s="66"/>
      <c r="Y134" s="66" t="s">
        <v>1061</v>
      </c>
      <c r="Z134" s="133">
        <v>861</v>
      </c>
      <c r="AA134" s="66"/>
      <c r="AB134" s="66" t="s">
        <v>1068</v>
      </c>
      <c r="AC134" s="66" t="s">
        <v>1069</v>
      </c>
    </row>
    <row r="135" spans="1:29" s="67" customFormat="1">
      <c r="A135" s="65">
        <f>VLOOKUP(B135,'서비스 Master'!$C$4:$D$62,2,FALSE)</f>
        <v>53</v>
      </c>
      <c r="B135" s="66" t="s">
        <v>388</v>
      </c>
      <c r="C135" s="65" t="str">
        <f>VLOOKUP(B135,'서비스 Master'!$C$4:$P$62,14,FALSE)</f>
        <v>김햇빛</v>
      </c>
      <c r="D135" s="65" t="str">
        <f>VLOOKUP(B135,'서비스 Master'!$C$4:$P$62,10,FALSE)</f>
        <v>이보람</v>
      </c>
      <c r="E135" s="65" t="str">
        <f>VLOOKUP(B135,'서비스 Master'!$C$4:$P$62,11,FALSE)</f>
        <v>김영선/고현종</v>
      </c>
      <c r="F135" s="2" t="s">
        <v>97</v>
      </c>
      <c r="G135" s="66" t="s">
        <v>440</v>
      </c>
      <c r="H135" s="66" t="s">
        <v>661</v>
      </c>
      <c r="I135" s="66"/>
      <c r="J135" s="66" t="s">
        <v>421</v>
      </c>
      <c r="K135" s="176"/>
      <c r="L135" s="176"/>
      <c r="M135" s="66" t="s">
        <v>1070</v>
      </c>
      <c r="N135" s="66" t="s">
        <v>1071</v>
      </c>
      <c r="O135" s="66"/>
      <c r="P135" s="95" t="s">
        <v>446</v>
      </c>
      <c r="Q135" s="217" t="s">
        <v>1072</v>
      </c>
      <c r="R135" s="158" t="s">
        <v>448</v>
      </c>
      <c r="S135" s="66" t="s">
        <v>1058</v>
      </c>
      <c r="T135" s="66" t="s">
        <v>1059</v>
      </c>
      <c r="U135" s="66" t="s">
        <v>1073</v>
      </c>
      <c r="V135" s="66" t="s">
        <v>1071</v>
      </c>
      <c r="W135" s="66"/>
      <c r="X135" s="66"/>
      <c r="Y135" s="66" t="s">
        <v>1061</v>
      </c>
      <c r="Z135" s="66">
        <v>466</v>
      </c>
      <c r="AA135" s="66"/>
      <c r="AB135" s="66" t="s">
        <v>1074</v>
      </c>
      <c r="AC135" s="66" t="s">
        <v>1075</v>
      </c>
    </row>
    <row r="136" spans="1:29" s="67" customFormat="1">
      <c r="A136" s="65">
        <f>VLOOKUP(B136,'서비스 Master'!$C$4:$D$62,2,FALSE)</f>
        <v>53</v>
      </c>
      <c r="B136" s="66" t="s">
        <v>388</v>
      </c>
      <c r="C136" s="65" t="str">
        <f>VLOOKUP(B136,'서비스 Master'!$C$4:$P$62,14,FALSE)</f>
        <v>김햇빛</v>
      </c>
      <c r="D136" s="65" t="str">
        <f>VLOOKUP(B136,'서비스 Master'!$C$4:$P$62,10,FALSE)</f>
        <v>이보람</v>
      </c>
      <c r="E136" s="65" t="str">
        <f>VLOOKUP(B136,'서비스 Master'!$C$4:$P$62,11,FALSE)</f>
        <v>김영선/고현종</v>
      </c>
      <c r="F136" s="2" t="s">
        <v>97</v>
      </c>
      <c r="G136" s="66" t="s">
        <v>440</v>
      </c>
      <c r="H136" s="66" t="s">
        <v>661</v>
      </c>
      <c r="I136" s="66"/>
      <c r="J136" s="66" t="s">
        <v>421</v>
      </c>
      <c r="K136" s="176"/>
      <c r="L136" s="176"/>
      <c r="M136" s="66" t="s">
        <v>1076</v>
      </c>
      <c r="N136" s="66" t="s">
        <v>1077</v>
      </c>
      <c r="O136" s="66"/>
      <c r="P136" s="95" t="s">
        <v>446</v>
      </c>
      <c r="Q136" s="153" t="s">
        <v>1078</v>
      </c>
      <c r="R136" s="158" t="s">
        <v>448</v>
      </c>
      <c r="S136" s="66" t="s">
        <v>1058</v>
      </c>
      <c r="T136" s="66" t="s">
        <v>1059</v>
      </c>
      <c r="U136" s="66" t="s">
        <v>1079</v>
      </c>
      <c r="V136" s="66" t="s">
        <v>1077</v>
      </c>
      <c r="W136" s="66"/>
      <c r="X136" s="66"/>
      <c r="Y136" s="66" t="s">
        <v>1061</v>
      </c>
      <c r="Z136" s="133">
        <v>430</v>
      </c>
      <c r="AA136" s="66"/>
      <c r="AB136" s="66" t="s">
        <v>1080</v>
      </c>
      <c r="AC136" s="66" t="s">
        <v>1081</v>
      </c>
    </row>
    <row r="137" spans="1:29" s="67" customFormat="1" ht="16.5">
      <c r="A137" s="140">
        <f>VLOOKUP(B137,'서비스 Master'!$C$4:$D$62,2,FALSE)</f>
        <v>53</v>
      </c>
      <c r="B137" s="133" t="s">
        <v>388</v>
      </c>
      <c r="C137" s="65" t="str">
        <f>VLOOKUP(B137,'서비스 Master'!$C$4:$P$62,14,FALSE)</f>
        <v>김햇빛</v>
      </c>
      <c r="D137" s="65" t="str">
        <f>VLOOKUP(B137,'서비스 Master'!$C$4:$P$62,10,FALSE)</f>
        <v>이보람</v>
      </c>
      <c r="E137" s="65" t="str">
        <f>VLOOKUP(B137,'서비스 Master'!$C$4:$P$62,11,FALSE)</f>
        <v>김영선/고현종</v>
      </c>
      <c r="F137" s="2" t="s">
        <v>97</v>
      </c>
      <c r="G137" s="66" t="s">
        <v>440</v>
      </c>
      <c r="H137" s="66" t="s">
        <v>661</v>
      </c>
      <c r="I137" s="66"/>
      <c r="J137" s="66" t="s">
        <v>421</v>
      </c>
      <c r="K137" s="176"/>
      <c r="L137" s="176"/>
      <c r="M137" s="133" t="s">
        <v>1082</v>
      </c>
      <c r="N137" s="133" t="s">
        <v>1083</v>
      </c>
      <c r="O137" s="66"/>
      <c r="P137" s="95" t="s">
        <v>446</v>
      </c>
      <c r="Q137" s="153" t="s">
        <v>1084</v>
      </c>
      <c r="R137" s="158" t="s">
        <v>448</v>
      </c>
      <c r="S137" s="66" t="s">
        <v>1058</v>
      </c>
      <c r="T137" s="66" t="s">
        <v>1059</v>
      </c>
      <c r="U137" s="66" t="s">
        <v>1085</v>
      </c>
      <c r="V137" s="66" t="s">
        <v>1083</v>
      </c>
      <c r="W137" s="66"/>
      <c r="X137" s="66"/>
      <c r="Y137" s="66" t="s">
        <v>1061</v>
      </c>
      <c r="Z137" s="133">
        <v>150</v>
      </c>
      <c r="AA137" s="66"/>
      <c r="AB137" s="66" t="s">
        <v>1086</v>
      </c>
      <c r="AC137" s="66" t="s">
        <v>1087</v>
      </c>
    </row>
    <row r="138" spans="1:29" s="67" customFormat="1" ht="16.5">
      <c r="A138" s="65">
        <f>VLOOKUP(B138,'서비스 Master'!$C$4:$D$62,2,FALSE)</f>
        <v>53</v>
      </c>
      <c r="B138" s="66" t="s">
        <v>388</v>
      </c>
      <c r="C138" s="65" t="str">
        <f>VLOOKUP(B138,'서비스 Master'!$C$4:$P$62,14,FALSE)</f>
        <v>김햇빛</v>
      </c>
      <c r="D138" s="65" t="str">
        <f>VLOOKUP(B138,'서비스 Master'!$C$4:$P$62,10,FALSE)</f>
        <v>이보람</v>
      </c>
      <c r="E138" s="65" t="str">
        <f>VLOOKUP(B138,'서비스 Master'!$C$4:$P$62,11,FALSE)</f>
        <v>김영선/고현종</v>
      </c>
      <c r="F138" s="2" t="s">
        <v>97</v>
      </c>
      <c r="G138" s="66" t="s">
        <v>440</v>
      </c>
      <c r="H138" s="66" t="s">
        <v>661</v>
      </c>
      <c r="I138" s="66" t="s">
        <v>885</v>
      </c>
      <c r="J138" s="66" t="s">
        <v>421</v>
      </c>
      <c r="K138" s="176"/>
      <c r="L138" s="176" t="s">
        <v>579</v>
      </c>
      <c r="M138" s="66" t="s">
        <v>1088</v>
      </c>
      <c r="N138" s="66" t="s">
        <v>1089</v>
      </c>
      <c r="O138" s="66"/>
      <c r="P138" s="95" t="s">
        <v>446</v>
      </c>
      <c r="Q138" s="153" t="s">
        <v>1090</v>
      </c>
      <c r="R138" s="158" t="s">
        <v>448</v>
      </c>
      <c r="S138" s="66"/>
      <c r="T138" s="66"/>
      <c r="U138" s="66" t="s">
        <v>1091</v>
      </c>
      <c r="V138" s="66" t="s">
        <v>1092</v>
      </c>
      <c r="W138" s="66"/>
      <c r="X138" s="66"/>
      <c r="Y138" s="66" t="s">
        <v>1061</v>
      </c>
      <c r="Z138" s="66">
        <v>0</v>
      </c>
      <c r="AA138" s="66"/>
      <c r="AB138" s="133" t="s">
        <v>1093</v>
      </c>
      <c r="AC138" s="66" t="s">
        <v>1094</v>
      </c>
    </row>
    <row r="139" spans="1:29" s="67" customFormat="1">
      <c r="A139" s="65">
        <f>VLOOKUP(B139,'서비스 Master'!$C$4:$D$62,2,FALSE)</f>
        <v>53</v>
      </c>
      <c r="B139" s="66" t="s">
        <v>388</v>
      </c>
      <c r="C139" s="65" t="str">
        <f>VLOOKUP(B139,'서비스 Master'!$C$4:$P$62,14,FALSE)</f>
        <v>김햇빛</v>
      </c>
      <c r="D139" s="65" t="str">
        <f>VLOOKUP(B139,'서비스 Master'!$C$4:$P$62,10,FALSE)</f>
        <v>이보람</v>
      </c>
      <c r="E139" s="65" t="str">
        <f>VLOOKUP(B139,'서비스 Master'!$C$4:$P$62,11,FALSE)</f>
        <v>김영선/고현종</v>
      </c>
      <c r="F139" s="2" t="s">
        <v>97</v>
      </c>
      <c r="G139" s="66" t="s">
        <v>440</v>
      </c>
      <c r="H139" s="66" t="s">
        <v>661</v>
      </c>
      <c r="I139" s="66" t="s">
        <v>885</v>
      </c>
      <c r="J139" s="66" t="s">
        <v>421</v>
      </c>
      <c r="K139" s="176" t="s">
        <v>443</v>
      </c>
      <c r="L139" s="176"/>
      <c r="M139" s="66" t="s">
        <v>1095</v>
      </c>
      <c r="N139" s="66" t="s">
        <v>1092</v>
      </c>
      <c r="O139" s="66"/>
      <c r="P139" s="95" t="s">
        <v>446</v>
      </c>
      <c r="Q139" s="153" t="s">
        <v>1096</v>
      </c>
      <c r="R139" s="158" t="s">
        <v>448</v>
      </c>
      <c r="S139" s="66"/>
      <c r="T139" s="66"/>
      <c r="U139" s="66" t="s">
        <v>1097</v>
      </c>
      <c r="V139" s="66" t="s">
        <v>1089</v>
      </c>
      <c r="W139" s="66"/>
      <c r="X139" s="66"/>
      <c r="Y139" s="66" t="s">
        <v>1061</v>
      </c>
      <c r="Z139" s="66">
        <v>0</v>
      </c>
      <c r="AA139" s="66"/>
      <c r="AB139" s="133" t="s">
        <v>1098</v>
      </c>
      <c r="AC139" s="66" t="s">
        <v>1099</v>
      </c>
    </row>
    <row r="140" spans="1:29" s="67" customFormat="1">
      <c r="A140" s="65">
        <f>VLOOKUP(B140,'서비스 Master'!$C$4:$D$62,2,FALSE)</f>
        <v>53</v>
      </c>
      <c r="B140" s="66" t="s">
        <v>388</v>
      </c>
      <c r="C140" s="65" t="str">
        <f>VLOOKUP(B140,'서비스 Master'!$C$4:$P$62,14,FALSE)</f>
        <v>김햇빛</v>
      </c>
      <c r="D140" s="65" t="str">
        <f>VLOOKUP(B140,'서비스 Master'!$C$4:$P$62,10,FALSE)</f>
        <v>이보람</v>
      </c>
      <c r="E140" s="65" t="str">
        <f>VLOOKUP(B140,'서비스 Master'!$C$4:$P$62,11,FALSE)</f>
        <v>김영선/고현종</v>
      </c>
      <c r="F140" s="2" t="s">
        <v>97</v>
      </c>
      <c r="G140" s="66" t="s">
        <v>457</v>
      </c>
      <c r="H140" s="66" t="s">
        <v>661</v>
      </c>
      <c r="I140" s="66"/>
      <c r="J140" s="66" t="s">
        <v>421</v>
      </c>
      <c r="K140" s="176"/>
      <c r="L140" s="176"/>
      <c r="M140" s="66" t="s">
        <v>1100</v>
      </c>
      <c r="N140" s="66" t="s">
        <v>1101</v>
      </c>
      <c r="O140" s="70">
        <v>80443</v>
      </c>
      <c r="P140" s="95" t="s">
        <v>446</v>
      </c>
      <c r="Q140" s="153" t="s">
        <v>1102</v>
      </c>
      <c r="R140" s="158" t="s">
        <v>448</v>
      </c>
      <c r="S140" s="66" t="s">
        <v>1058</v>
      </c>
      <c r="T140" s="66" t="s">
        <v>1059</v>
      </c>
      <c r="U140" s="66" t="s">
        <v>1103</v>
      </c>
      <c r="V140" s="66" t="s">
        <v>1101</v>
      </c>
      <c r="W140" s="66"/>
      <c r="X140" s="66"/>
      <c r="Y140" s="66" t="s">
        <v>1061</v>
      </c>
      <c r="Z140" s="66">
        <v>23</v>
      </c>
      <c r="AA140" s="66"/>
      <c r="AB140" s="66" t="s">
        <v>1104</v>
      </c>
      <c r="AC140" s="66" t="s">
        <v>1105</v>
      </c>
    </row>
    <row r="141" spans="1:29" s="67" customFormat="1">
      <c r="A141" s="65">
        <f>VLOOKUP(B141,'서비스 Master'!$C$4:$D$62,2,FALSE)</f>
        <v>53</v>
      </c>
      <c r="B141" s="66" t="s">
        <v>388</v>
      </c>
      <c r="C141" s="65" t="str">
        <f>VLOOKUP(B141,'서비스 Master'!$C$4:$P$62,14,FALSE)</f>
        <v>김햇빛</v>
      </c>
      <c r="D141" s="65" t="str">
        <f>VLOOKUP(B141,'서비스 Master'!$C$4:$P$62,10,FALSE)</f>
        <v>이보람</v>
      </c>
      <c r="E141" s="65" t="str">
        <f>VLOOKUP(B141,'서비스 Master'!$C$4:$P$62,11,FALSE)</f>
        <v>김영선/고현종</v>
      </c>
      <c r="F141" s="2" t="s">
        <v>97</v>
      </c>
      <c r="G141" s="66" t="s">
        <v>457</v>
      </c>
      <c r="H141" s="66" t="s">
        <v>661</v>
      </c>
      <c r="I141" s="66"/>
      <c r="J141" s="66" t="s">
        <v>421</v>
      </c>
      <c r="K141" s="176"/>
      <c r="L141" s="176"/>
      <c r="M141" s="66" t="s">
        <v>1106</v>
      </c>
      <c r="N141" s="66" t="s">
        <v>1107</v>
      </c>
      <c r="O141" s="70">
        <v>80443</v>
      </c>
      <c r="P141" s="95" t="s">
        <v>446</v>
      </c>
      <c r="Q141" s="153" t="s">
        <v>1108</v>
      </c>
      <c r="R141" s="158" t="s">
        <v>448</v>
      </c>
      <c r="S141" s="66" t="s">
        <v>1058</v>
      </c>
      <c r="T141" s="66" t="s">
        <v>1059</v>
      </c>
      <c r="U141" s="66" t="s">
        <v>1109</v>
      </c>
      <c r="V141" s="66" t="s">
        <v>1107</v>
      </c>
      <c r="W141" s="66"/>
      <c r="X141" s="66"/>
      <c r="Y141" s="66" t="s">
        <v>1061</v>
      </c>
      <c r="Z141" s="66">
        <v>231</v>
      </c>
      <c r="AA141" s="66"/>
      <c r="AB141" s="66" t="s">
        <v>1104</v>
      </c>
      <c r="AC141" s="66" t="s">
        <v>1110</v>
      </c>
    </row>
    <row r="142" spans="1:29" s="67" customFormat="1" ht="16.5">
      <c r="A142" s="65">
        <f>VLOOKUP(B142,'서비스 Master'!$C$4:$D$62,2,FALSE)</f>
        <v>54</v>
      </c>
      <c r="B142" s="66" t="s">
        <v>1111</v>
      </c>
      <c r="C142" s="65" t="str">
        <f>VLOOKUP(B142,'서비스 Master'!$C$4:$P$62,14,FALSE)</f>
        <v>김햇빛</v>
      </c>
      <c r="D142" s="65" t="str">
        <f>VLOOKUP(B142,'서비스 Master'!$C$4:$P$62,10,FALSE)</f>
        <v>이보람</v>
      </c>
      <c r="E142" s="65" t="str">
        <f>VLOOKUP(B142,'서비스 Master'!$C$4:$P$62,11,FALSE)</f>
        <v>김영선/고현종</v>
      </c>
      <c r="F142" s="2" t="s">
        <v>97</v>
      </c>
      <c r="G142" s="66" t="s">
        <v>440</v>
      </c>
      <c r="H142" s="66" t="s">
        <v>661</v>
      </c>
      <c r="I142" s="66"/>
      <c r="J142" s="66" t="s">
        <v>421</v>
      </c>
      <c r="K142" s="176"/>
      <c r="L142" s="176"/>
      <c r="M142" s="66" t="s">
        <v>1112</v>
      </c>
      <c r="N142" s="214" t="s">
        <v>1071</v>
      </c>
      <c r="O142" s="66"/>
      <c r="P142" s="95" t="s">
        <v>446</v>
      </c>
      <c r="Q142" s="153" t="s">
        <v>1113</v>
      </c>
      <c r="R142" s="158" t="s">
        <v>448</v>
      </c>
      <c r="S142" s="66" t="s">
        <v>1058</v>
      </c>
      <c r="T142" s="66" t="s">
        <v>1059</v>
      </c>
      <c r="U142" s="66"/>
      <c r="V142" s="66"/>
      <c r="W142" s="66"/>
      <c r="X142" s="66"/>
      <c r="Y142" s="66" t="s">
        <v>1061</v>
      </c>
      <c r="Z142" s="133">
        <v>83</v>
      </c>
      <c r="AA142" s="66"/>
      <c r="AB142" s="66" t="s">
        <v>1104</v>
      </c>
      <c r="AC142" s="66"/>
    </row>
    <row r="143" spans="1:29" s="67" customFormat="1" ht="16.5">
      <c r="A143" s="65">
        <f>VLOOKUP(B143,'서비스 Master'!$C$4:$D$62,2,FALSE)</f>
        <v>54</v>
      </c>
      <c r="B143" s="66" t="s">
        <v>1111</v>
      </c>
      <c r="C143" s="65" t="str">
        <f>VLOOKUP(B143,'서비스 Master'!$C$4:$P$62,14,FALSE)</f>
        <v>김햇빛</v>
      </c>
      <c r="D143" s="65" t="str">
        <f>VLOOKUP(B143,'서비스 Master'!$C$4:$P$62,10,FALSE)</f>
        <v>이보람</v>
      </c>
      <c r="E143" s="65" t="str">
        <f>VLOOKUP(B143,'서비스 Master'!$C$4:$P$62,11,FALSE)</f>
        <v>김영선/고현종</v>
      </c>
      <c r="F143" s="2" t="s">
        <v>97</v>
      </c>
      <c r="G143" s="66" t="s">
        <v>440</v>
      </c>
      <c r="H143" s="66" t="s">
        <v>661</v>
      </c>
      <c r="I143" s="66"/>
      <c r="J143" s="66" t="s">
        <v>421</v>
      </c>
      <c r="K143" s="176"/>
      <c r="L143" s="176"/>
      <c r="M143" s="66" t="s">
        <v>1114</v>
      </c>
      <c r="N143" s="214" t="s">
        <v>1077</v>
      </c>
      <c r="O143" s="66"/>
      <c r="P143" s="95" t="s">
        <v>446</v>
      </c>
      <c r="Q143" s="153" t="s">
        <v>1113</v>
      </c>
      <c r="R143" s="158" t="s">
        <v>448</v>
      </c>
      <c r="S143" s="66" t="s">
        <v>1058</v>
      </c>
      <c r="T143" s="66" t="s">
        <v>1059</v>
      </c>
      <c r="U143" s="66"/>
      <c r="V143" s="66"/>
      <c r="W143" s="66"/>
      <c r="X143" s="66"/>
      <c r="Y143" s="66" t="s">
        <v>1061</v>
      </c>
      <c r="Z143" s="66">
        <v>0</v>
      </c>
      <c r="AA143" s="66"/>
      <c r="AB143" s="66" t="s">
        <v>1104</v>
      </c>
      <c r="AC143" s="66"/>
    </row>
    <row r="144" spans="1:29" s="67" customFormat="1" ht="16.5">
      <c r="A144" s="65">
        <f>VLOOKUP(B144,'서비스 Master'!$C$4:$D$62,2,FALSE)</f>
        <v>55</v>
      </c>
      <c r="B144" s="66" t="s">
        <v>1115</v>
      </c>
      <c r="C144" s="65" t="str">
        <f>VLOOKUP(B144,'서비스 Master'!$C$4:$P$62,14,FALSE)</f>
        <v>김햇빛</v>
      </c>
      <c r="D144" s="65" t="str">
        <f>VLOOKUP(B144,'서비스 Master'!$C$4:$P$62,10,FALSE)</f>
        <v>이보람</v>
      </c>
      <c r="E144" s="65" t="str">
        <f>VLOOKUP(B144,'서비스 Master'!$C$4:$P$62,11,FALSE)</f>
        <v>김영선/고현종</v>
      </c>
      <c r="F144" s="2" t="s">
        <v>97</v>
      </c>
      <c r="G144" s="66" t="s">
        <v>440</v>
      </c>
      <c r="H144" s="66" t="s">
        <v>661</v>
      </c>
      <c r="I144" s="66"/>
      <c r="J144" s="66" t="s">
        <v>421</v>
      </c>
      <c r="K144" s="176"/>
      <c r="L144" s="176"/>
      <c r="M144" s="66" t="s">
        <v>1116</v>
      </c>
      <c r="N144" s="214" t="s">
        <v>1056</v>
      </c>
      <c r="O144" s="66"/>
      <c r="P144" s="95" t="s">
        <v>446</v>
      </c>
      <c r="Q144" s="153" t="s">
        <v>1117</v>
      </c>
      <c r="R144" s="158" t="s">
        <v>448</v>
      </c>
      <c r="S144" s="66" t="s">
        <v>1058</v>
      </c>
      <c r="T144" s="66" t="s">
        <v>1059</v>
      </c>
      <c r="U144" s="66"/>
      <c r="V144" s="66"/>
      <c r="W144" s="66"/>
      <c r="X144" s="66"/>
      <c r="Y144" s="66" t="s">
        <v>1061</v>
      </c>
      <c r="Z144" s="66">
        <v>4</v>
      </c>
      <c r="AA144" s="66"/>
      <c r="AB144" s="66" t="s">
        <v>1104</v>
      </c>
      <c r="AC144" s="66"/>
    </row>
    <row r="145" spans="1:29" s="67" customFormat="1">
      <c r="A145" s="65">
        <f>VLOOKUP(B145,'서비스 Master'!$C$4:$D$62,2,FALSE)</f>
        <v>55</v>
      </c>
      <c r="B145" s="66" t="s">
        <v>1115</v>
      </c>
      <c r="C145" s="65" t="str">
        <f>VLOOKUP(B145,'서비스 Master'!$C$4:$P$62,14,FALSE)</f>
        <v>김햇빛</v>
      </c>
      <c r="D145" s="65" t="str">
        <f>VLOOKUP(B145,'서비스 Master'!$C$4:$P$62,10,FALSE)</f>
        <v>이보람</v>
      </c>
      <c r="E145" s="65" t="str">
        <f>VLOOKUP(B145,'서비스 Master'!$C$4:$P$62,11,FALSE)</f>
        <v>김영선/고현종</v>
      </c>
      <c r="F145" s="2" t="s">
        <v>97</v>
      </c>
      <c r="G145" s="66" t="s">
        <v>440</v>
      </c>
      <c r="H145" s="66" t="s">
        <v>661</v>
      </c>
      <c r="I145" s="66"/>
      <c r="J145" s="66" t="s">
        <v>421</v>
      </c>
      <c r="K145" s="176"/>
      <c r="L145" s="176"/>
      <c r="M145" s="66" t="s">
        <v>1118</v>
      </c>
      <c r="N145" s="214" t="s">
        <v>1065</v>
      </c>
      <c r="O145" s="66"/>
      <c r="P145" s="95" t="s">
        <v>446</v>
      </c>
      <c r="Q145" s="153" t="s">
        <v>1117</v>
      </c>
      <c r="R145" s="158" t="s">
        <v>448</v>
      </c>
      <c r="S145" s="66" t="s">
        <v>1058</v>
      </c>
      <c r="T145" s="66" t="s">
        <v>1059</v>
      </c>
      <c r="U145" s="66"/>
      <c r="V145" s="66"/>
      <c r="W145" s="66"/>
      <c r="X145" s="66"/>
      <c r="Y145" s="66" t="s">
        <v>1061</v>
      </c>
      <c r="Z145" s="66">
        <v>0</v>
      </c>
      <c r="AA145" s="66"/>
      <c r="AB145" s="66" t="s">
        <v>1104</v>
      </c>
      <c r="AC145" s="66"/>
    </row>
    <row r="146" spans="1:29">
      <c r="N146" s="2" t="s">
        <v>565</v>
      </c>
      <c r="Q146" s="138"/>
      <c r="R146" s="138"/>
    </row>
    <row r="147" spans="1:29">
      <c r="Q147" s="138"/>
      <c r="R147" s="138"/>
    </row>
  </sheetData>
  <autoFilter ref="A4:AC146" xr:uid="{B3AD53FA-B1B3-4D06-9055-2875654E9E84}"/>
  <sortState xmlns:xlrd2="http://schemas.microsoft.com/office/spreadsheetml/2017/richdata2" ref="A5:AC103">
    <sortCondition ref="A5:A103"/>
  </sortState>
  <mergeCells count="5">
    <mergeCell ref="U3:AA3"/>
    <mergeCell ref="AB3:AC3"/>
    <mergeCell ref="A3:A4"/>
    <mergeCell ref="C3:E3"/>
    <mergeCell ref="H3:T3"/>
  </mergeCells>
  <phoneticPr fontId="1" type="noConversion"/>
  <hyperlinks>
    <hyperlink ref="Q38" r:id="rId1" xr:uid="{7C969B44-3768-4059-8A33-7A4100DD2183}"/>
    <hyperlink ref="Q39" r:id="rId2" xr:uid="{C9E3C993-892C-4349-A926-D48B069C1198}"/>
    <hyperlink ref="Q40" r:id="rId3" xr:uid="{BF733739-4F36-4567-B9F2-285C149F5E36}"/>
    <hyperlink ref="Q32" r:id="rId4" xr:uid="{72A2A916-07CA-48A2-9D80-C9BD6C433819}"/>
    <hyperlink ref="Q13" r:id="rId5" xr:uid="{4515F5CD-9FF4-4289-A1D4-C098F6D14B58}"/>
    <hyperlink ref="Q16" r:id="rId6" xr:uid="{C4069A4C-B22C-42D0-AA9C-60DA62160D58}"/>
    <hyperlink ref="Q72" r:id="rId7" xr:uid="{C6930AF7-C1A2-4EFA-83D3-D7ABC7B200AC}"/>
  </hyperlinks>
  <pageMargins left="0.7" right="0.7" top="0.75" bottom="0.75" header="0.3" footer="0.3"/>
  <pageSetup paperSize="9" orientation="portrait" r:id="rId8"/>
  <extLst>
    <ext xmlns:x14="http://schemas.microsoft.com/office/spreadsheetml/2009/9/main" uri="{CCE6A557-97BC-4b89-ADB6-D9C93CAAB3DF}">
      <x14:dataValidations xmlns:xm="http://schemas.microsoft.com/office/excel/2006/main" count="4">
        <x14:dataValidation type="list" allowBlank="1" showInputMessage="1" showErrorMessage="1" xr:uid="{551ED72E-809E-4F67-B024-5CBFE9903267}">
          <x14:formula1>
            <xm:f>Dataset!$B$1:$B$4</xm:f>
          </x14:formula1>
          <xm:sqref>H1:H1048576</xm:sqref>
        </x14:dataValidation>
        <x14:dataValidation type="list" allowBlank="1" showInputMessage="1" showErrorMessage="1" xr:uid="{78859D4B-D589-4CDA-995E-A7CF1C41DA41}">
          <x14:formula1>
            <xm:f>Dataset!$A$1:$A$5</xm:f>
          </x14:formula1>
          <xm:sqref>G1:G1048576</xm:sqref>
        </x14:dataValidation>
        <x14:dataValidation type="list" allowBlank="1" showInputMessage="1" showErrorMessage="1" xr:uid="{D9B17BFB-F0E1-4490-B9E2-CC875BF68C19}">
          <x14:formula1>
            <xm:f>Dataset!$C$1:$C$4</xm:f>
          </x14:formula1>
          <xm:sqref>I1:I1048576</xm:sqref>
        </x14:dataValidation>
        <x14:dataValidation type="list" allowBlank="1" showInputMessage="1" showErrorMessage="1" xr:uid="{87549C87-EBF7-4B47-AC66-216DE3C1596E}">
          <x14:formula1>
            <xm:f>Dataset!$D$1:$D$6</xm:f>
          </x14:formula1>
          <xm:sqref>J1:J1048576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7B06-A91B-40AE-A0CD-AEDE20C078D4}">
  <dimension ref="A2:N64"/>
  <sheetViews>
    <sheetView workbookViewId="0">
      <pane xSplit="2" ySplit="2" topLeftCell="C3" activePane="bottomRight" state="frozen"/>
      <selection pane="bottomRight" activeCell="E69" sqref="E69"/>
      <selection pane="bottomLeft" activeCell="A5" sqref="A5"/>
      <selection pane="topRight" activeCell="C1" sqref="C1"/>
    </sheetView>
  </sheetViews>
  <sheetFormatPr defaultColWidth="9" defaultRowHeight="13.5" customHeight="1"/>
  <cols>
    <col min="1" max="1" width="9.5" style="3" customWidth="1"/>
    <col min="2" max="2" width="33.25" style="3" customWidth="1"/>
    <col min="3" max="3" width="14.25" style="3" bestFit="1" customWidth="1"/>
    <col min="4" max="4" width="10.375" style="4" customWidth="1"/>
    <col min="5" max="5" width="21.5" style="4" customWidth="1"/>
    <col min="6" max="6" width="9.375" style="3" customWidth="1"/>
    <col min="7" max="7" width="16.625" style="4" customWidth="1"/>
    <col min="8" max="8" width="13.875" style="4" bestFit="1" customWidth="1"/>
    <col min="9" max="9" width="26.875" style="4" bestFit="1" customWidth="1"/>
    <col min="10" max="10" width="52.25" style="4" bestFit="1" customWidth="1"/>
    <col min="11" max="11" width="41.75" style="4" customWidth="1"/>
    <col min="12" max="12" width="56.375" style="10" bestFit="1" customWidth="1"/>
    <col min="13" max="16384" width="9" style="3"/>
  </cols>
  <sheetData>
    <row r="2" spans="1:12">
      <c r="A2" s="8" t="s">
        <v>1119</v>
      </c>
      <c r="B2" s="8" t="s">
        <v>413</v>
      </c>
      <c r="C2" s="141" t="s">
        <v>1120</v>
      </c>
      <c r="D2" s="9" t="s">
        <v>1121</v>
      </c>
      <c r="E2" s="9" t="s">
        <v>23</v>
      </c>
      <c r="F2" s="8" t="s">
        <v>1122</v>
      </c>
      <c r="G2" s="8" t="s">
        <v>1123</v>
      </c>
      <c r="H2" s="8" t="s">
        <v>1124</v>
      </c>
      <c r="I2" s="8" t="e" cm="1">
        <f t="array" ref="I2">_xlfn.XLOOKUP(D2,비상연락망!B:L,비상연락망!B:B)</f>
        <v>#VALUE!</v>
      </c>
      <c r="J2" s="211" t="s">
        <v>1125</v>
      </c>
      <c r="K2" s="211" t="s">
        <v>1126</v>
      </c>
      <c r="L2" s="8" t="s">
        <v>9</v>
      </c>
    </row>
    <row r="3" spans="1:12" s="1" customFormat="1">
      <c r="A3" s="237" t="s">
        <v>1127</v>
      </c>
      <c r="B3" s="73" t="s">
        <v>58</v>
      </c>
      <c r="C3" s="72" t="str">
        <f>VLOOKUP(B3,'서비스 Master'!$C$4:$P$62,14,FALSE)</f>
        <v>김햇빛</v>
      </c>
      <c r="D3" s="74" t="str">
        <f>VLOOKUP(B3,'서비스 Master'!$C$4:$P$62,10,FALSE)</f>
        <v>조래옥</v>
      </c>
      <c r="E3" s="74" t="str">
        <f>VLOOKUP(B3,'서비스 Master'!$C$4:$P$62,11,FALSE)</f>
        <v>유원혁</v>
      </c>
      <c r="F3" s="72" t="s">
        <v>1128</v>
      </c>
      <c r="G3" s="74" t="s">
        <v>1129</v>
      </c>
      <c r="H3" s="74" t="s">
        <v>1130</v>
      </c>
      <c r="I3" s="203" t="s">
        <v>1131</v>
      </c>
      <c r="J3" s="196" t="s">
        <v>1132</v>
      </c>
      <c r="K3" s="196"/>
      <c r="L3" s="207"/>
    </row>
    <row r="4" spans="1:12" s="1" customFormat="1">
      <c r="A4" s="237"/>
      <c r="B4" s="73" t="s">
        <v>80</v>
      </c>
      <c r="C4" s="72" t="str">
        <f>VLOOKUP(B4,'서비스 Master'!$C$4:$P$62,14,FALSE)</f>
        <v>유현상</v>
      </c>
      <c r="D4" s="75" t="str">
        <f>VLOOKUP(B4,'서비스 Master'!$C$4:$P$62,10,FALSE)</f>
        <v>이용재</v>
      </c>
      <c r="E4" s="75" t="str">
        <f>VLOOKUP(B4,'서비스 Master'!$C$4:$P$62,11,FALSE)</f>
        <v>민준홍</v>
      </c>
      <c r="F4" s="72" t="s">
        <v>1133</v>
      </c>
      <c r="G4" s="74" t="s">
        <v>1134</v>
      </c>
      <c r="H4" s="74" t="s">
        <v>1135</v>
      </c>
      <c r="I4" s="203" t="s">
        <v>1136</v>
      </c>
      <c r="J4" s="153" t="s">
        <v>1137</v>
      </c>
      <c r="K4" s="153" t="s">
        <v>1138</v>
      </c>
      <c r="L4" s="207" t="s">
        <v>1139</v>
      </c>
    </row>
    <row r="5" spans="1:12" s="16" customFormat="1">
      <c r="A5" s="238"/>
      <c r="B5" s="76" t="s">
        <v>98</v>
      </c>
      <c r="C5" s="78">
        <f>VLOOKUP(B5,'서비스 Master'!$C$4:$P$62,14,FALSE)</f>
        <v>0</v>
      </c>
      <c r="D5" s="77">
        <f>VLOOKUP(B5,'서비스 Master'!$C$4:$P$62,10,FALSE)</f>
        <v>0</v>
      </c>
      <c r="E5" s="77">
        <f>VLOOKUP(B5,'서비스 Master'!$C$4:$P$62,11,FALSE)</f>
        <v>0</v>
      </c>
      <c r="F5" s="78"/>
      <c r="G5" s="79"/>
      <c r="H5" s="79"/>
      <c r="I5" s="204"/>
      <c r="J5" s="197"/>
      <c r="K5" s="197"/>
      <c r="L5" s="208" t="s">
        <v>101</v>
      </c>
    </row>
    <row r="6" spans="1:12" ht="13.5" customHeight="1">
      <c r="A6" s="237"/>
      <c r="B6" s="73" t="s">
        <v>102</v>
      </c>
      <c r="C6" s="72" t="str">
        <f>VLOOKUP(B6,'서비스 Master'!$C$4:$P$62,14,FALSE)</f>
        <v>민석홍</v>
      </c>
      <c r="D6" s="74" t="str">
        <f>VLOOKUP(B6,'서비스 Master'!$C$4:$P$62,10,FALSE)</f>
        <v>조래옥</v>
      </c>
      <c r="E6" s="75" t="str">
        <f>VLOOKUP(B6,'서비스 Master'!$C$4:$P$62,11,FALSE)</f>
        <v>최문석/홍명기</v>
      </c>
      <c r="F6" s="72" t="s">
        <v>1128</v>
      </c>
      <c r="G6" s="74" t="s">
        <v>1140</v>
      </c>
      <c r="H6" s="74" t="s">
        <v>1141</v>
      </c>
      <c r="I6" s="203" t="s">
        <v>1142</v>
      </c>
      <c r="J6" s="196" t="s">
        <v>1143</v>
      </c>
      <c r="K6" s="198" t="s">
        <v>1144</v>
      </c>
      <c r="L6" s="207"/>
    </row>
    <row r="7" spans="1:12" s="1" customFormat="1">
      <c r="A7" s="237"/>
      <c r="B7" s="73" t="s">
        <v>107</v>
      </c>
      <c r="C7" s="72" t="str">
        <f>VLOOKUP(B7,'서비스 Master'!$C$4:$P$62,14,FALSE)</f>
        <v>김햇빛</v>
      </c>
      <c r="D7" s="75" t="str">
        <f>VLOOKUP(B7,'서비스 Master'!$C$4:$P$62,10,FALSE)</f>
        <v>이인</v>
      </c>
      <c r="E7" s="75" t="str">
        <f>VLOOKUP(B7,'서비스 Master'!$C$4:$P$62,11,FALSE)</f>
        <v>김건휘</v>
      </c>
      <c r="F7" s="72" t="s">
        <v>1133</v>
      </c>
      <c r="G7" s="74" t="s">
        <v>1145</v>
      </c>
      <c r="H7" s="74" t="s">
        <v>1146</v>
      </c>
      <c r="I7" s="203" t="s">
        <v>1147</v>
      </c>
      <c r="J7" s="129" t="s">
        <v>1148</v>
      </c>
      <c r="K7" s="153" t="s">
        <v>1149</v>
      </c>
      <c r="L7" s="207"/>
    </row>
    <row r="8" spans="1:12" s="1" customFormat="1">
      <c r="A8" s="237"/>
      <c r="B8" s="73" t="s">
        <v>1150</v>
      </c>
      <c r="C8" s="72" t="str">
        <f>VLOOKUP(B8,'서비스 Master'!$C$4:$P$62,14,FALSE)</f>
        <v>김햇빛</v>
      </c>
      <c r="D8" s="74" t="str">
        <f>VLOOKUP(B8,'서비스 Master'!$C$4:$P$62,10,FALSE)</f>
        <v>조래옥</v>
      </c>
      <c r="E8" s="75" t="str">
        <f>VLOOKUP(B8,'서비스 Master'!$C$4:$P$62,11,FALSE)</f>
        <v>양미라</v>
      </c>
      <c r="F8" s="72" t="s">
        <v>1133</v>
      </c>
      <c r="G8" s="74" t="s">
        <v>1151</v>
      </c>
      <c r="H8" s="74" t="s">
        <v>1152</v>
      </c>
      <c r="I8" s="203" t="s">
        <v>1153</v>
      </c>
      <c r="J8" s="129" t="s">
        <v>1154</v>
      </c>
      <c r="K8" s="153" t="s">
        <v>1155</v>
      </c>
      <c r="L8" s="209"/>
    </row>
    <row r="9" spans="1:12" s="1" customFormat="1">
      <c r="A9" s="237"/>
      <c r="B9" s="73" t="s">
        <v>115</v>
      </c>
      <c r="C9" s="72" t="str">
        <f>VLOOKUP(B9,'서비스 Master'!$C$4:$P$62,14,FALSE)</f>
        <v>김햇빛</v>
      </c>
      <c r="D9" s="74" t="str">
        <f>VLOOKUP(B9,'서비스 Master'!$C$4:$P$62,10,FALSE)</f>
        <v>조래옥</v>
      </c>
      <c r="E9" s="75" t="str">
        <f>VLOOKUP(B9,'서비스 Master'!$C$4:$P$62,11,FALSE)</f>
        <v>정정배/김기정</v>
      </c>
      <c r="F9" s="72" t="s">
        <v>1128</v>
      </c>
      <c r="G9" s="74" t="s">
        <v>1156</v>
      </c>
      <c r="H9" s="74" t="s">
        <v>1157</v>
      </c>
      <c r="I9" s="203" t="s">
        <v>1158</v>
      </c>
      <c r="J9" s="196" t="s">
        <v>1159</v>
      </c>
      <c r="K9" s="196" t="s">
        <v>1160</v>
      </c>
      <c r="L9" s="209"/>
    </row>
    <row r="10" spans="1:12" s="1" customFormat="1" ht="16.5">
      <c r="A10" s="237"/>
      <c r="B10" s="73" t="s">
        <v>514</v>
      </c>
      <c r="C10" s="72" t="str">
        <f>VLOOKUP(B10,'서비스 Master'!$C$4:$P$62,14,FALSE)</f>
        <v>민석홍</v>
      </c>
      <c r="D10" s="74" t="str">
        <f>VLOOKUP(B10,'서비스 Master'!$C$4:$P$62,10,FALSE)</f>
        <v>조래옥</v>
      </c>
      <c r="E10" s="74" t="str">
        <f>VLOOKUP(B10,'서비스 Master'!$C$4:$P$62,11,FALSE)</f>
        <v>경규민</v>
      </c>
      <c r="F10" s="72" t="s">
        <v>1128</v>
      </c>
      <c r="G10" s="74" t="s">
        <v>1161</v>
      </c>
      <c r="H10" s="74" t="s">
        <v>1162</v>
      </c>
      <c r="I10" s="203" t="s">
        <v>1163</v>
      </c>
      <c r="J10" s="228" t="s">
        <v>1164</v>
      </c>
      <c r="K10" s="196" t="s">
        <v>1165</v>
      </c>
      <c r="L10" s="209"/>
    </row>
    <row r="11" spans="1:12" s="1" customFormat="1" ht="13.5" customHeight="1">
      <c r="A11" s="237"/>
      <c r="B11" s="73" t="s">
        <v>129</v>
      </c>
      <c r="C11" s="72" t="str">
        <f>VLOOKUP(B11,'서비스 Master'!$C$4:$P$62,14,FALSE)</f>
        <v>민석홍</v>
      </c>
      <c r="D11" s="74" t="str">
        <f>VLOOKUP(B11,'서비스 Master'!$C$4:$P$62,10,FALSE)</f>
        <v>조래옥</v>
      </c>
      <c r="E11" s="74" t="str">
        <f>VLOOKUP(B11,'서비스 Master'!$C$4:$P$62,11,FALSE)</f>
        <v>구본호</v>
      </c>
      <c r="F11" s="72" t="s">
        <v>1128</v>
      </c>
      <c r="G11" s="74" t="s">
        <v>1166</v>
      </c>
      <c r="H11" s="74" t="s">
        <v>1130</v>
      </c>
      <c r="I11" s="203" t="s">
        <v>1167</v>
      </c>
      <c r="J11" s="222" t="s">
        <v>1168</v>
      </c>
      <c r="K11" s="196" t="s">
        <v>1169</v>
      </c>
      <c r="L11" s="209"/>
    </row>
    <row r="12" spans="1:12" s="16" customFormat="1">
      <c r="A12" s="238"/>
      <c r="B12" s="76" t="s">
        <v>1170</v>
      </c>
      <c r="C12" s="78">
        <f>VLOOKUP(B12,'서비스 Master'!$C$4:$P$62,14,FALSE)</f>
        <v>0</v>
      </c>
      <c r="D12" s="77">
        <f>VLOOKUP(B12,'서비스 Master'!$C$4:$P$62,10,FALSE)</f>
        <v>0</v>
      </c>
      <c r="E12" s="77">
        <f>VLOOKUP(B12,'서비스 Master'!$C$4:$P$62,11,FALSE)</f>
        <v>0</v>
      </c>
      <c r="F12" s="78"/>
      <c r="G12" s="79"/>
      <c r="H12" s="79"/>
      <c r="I12" s="204"/>
      <c r="J12" s="197"/>
      <c r="K12" s="197"/>
      <c r="L12" s="208" t="s">
        <v>101</v>
      </c>
    </row>
    <row r="13" spans="1:12" s="1" customFormat="1" ht="16.5">
      <c r="A13" s="237"/>
      <c r="B13" s="73" t="s">
        <v>1171</v>
      </c>
      <c r="C13" s="72" t="str">
        <f>VLOOKUP(B13,'서비스 Master'!$C$4:$P$62,14,FALSE)</f>
        <v>김햇빛</v>
      </c>
      <c r="D13" s="74" t="str">
        <f>VLOOKUP(B13,'서비스 Master'!$C$4:$P$62,10,FALSE)</f>
        <v>조래옥</v>
      </c>
      <c r="E13" s="74" t="s">
        <v>150</v>
      </c>
      <c r="F13" s="72" t="s">
        <v>1133</v>
      </c>
      <c r="G13" s="74" t="s">
        <v>1172</v>
      </c>
      <c r="H13" s="74" t="s">
        <v>1173</v>
      </c>
      <c r="I13" s="203" t="s">
        <v>1174</v>
      </c>
      <c r="J13" s="153" t="s">
        <v>1175</v>
      </c>
      <c r="K13" s="222" t="s">
        <v>1176</v>
      </c>
      <c r="L13" s="207" t="s">
        <v>1177</v>
      </c>
    </row>
    <row r="14" spans="1:12" s="1" customFormat="1" ht="16.5">
      <c r="A14" s="237"/>
      <c r="B14" s="73" t="s">
        <v>567</v>
      </c>
      <c r="C14" s="72" t="str">
        <f>VLOOKUP(B14,'서비스 Master'!$C$4:$P$62,14,FALSE)</f>
        <v>김햇빛</v>
      </c>
      <c r="D14" s="75" t="str">
        <f>VLOOKUP(B14,'서비스 Master'!$C$4:$P$62,10,FALSE)</f>
        <v>조래옥</v>
      </c>
      <c r="E14" s="74" t="str">
        <f>VLOOKUP(B14,'서비스 Master'!$C$4:$P$62,11,FALSE)</f>
        <v>변영운</v>
      </c>
      <c r="F14" s="72" t="s">
        <v>1133</v>
      </c>
      <c r="G14" s="74" t="s">
        <v>1178</v>
      </c>
      <c r="H14" s="74" t="s">
        <v>1179</v>
      </c>
      <c r="I14" s="203" t="s">
        <v>1180</v>
      </c>
      <c r="J14" s="129" t="s">
        <v>1181</v>
      </c>
      <c r="K14" s="222" t="s">
        <v>1182</v>
      </c>
      <c r="L14" s="207" t="s">
        <v>1183</v>
      </c>
    </row>
    <row r="15" spans="1:12" s="1" customFormat="1" ht="16.5">
      <c r="A15" s="237" t="s">
        <v>162</v>
      </c>
      <c r="B15" s="73" t="s">
        <v>163</v>
      </c>
      <c r="C15" s="72" t="str">
        <f>VLOOKUP(B15,'서비스 Master'!$C$4:$P$62,14,FALSE)</f>
        <v>김햇빛</v>
      </c>
      <c r="D15" s="74" t="str">
        <f>VLOOKUP(B15,'서비스 Master'!$C$4:$P$62,10,FALSE)</f>
        <v>조래옥</v>
      </c>
      <c r="E15" s="90" t="s">
        <v>165</v>
      </c>
      <c r="F15" s="72" t="s">
        <v>1133</v>
      </c>
      <c r="G15" s="74" t="s">
        <v>1184</v>
      </c>
      <c r="H15" s="74" t="s">
        <v>1185</v>
      </c>
      <c r="I15" s="203" t="s">
        <v>1186</v>
      </c>
      <c r="J15" s="153" t="s">
        <v>1187</v>
      </c>
      <c r="K15" s="222" t="s">
        <v>1188</v>
      </c>
      <c r="L15" s="207" t="s">
        <v>1189</v>
      </c>
    </row>
    <row r="16" spans="1:12" s="1" customFormat="1" ht="16.5">
      <c r="A16" s="237"/>
      <c r="B16" s="73" t="s">
        <v>171</v>
      </c>
      <c r="C16" s="72" t="str">
        <f>VLOOKUP(B16,'서비스 Master'!$C$4:$P$62,14,FALSE)</f>
        <v>김햇빛</v>
      </c>
      <c r="D16" s="74" t="str">
        <f>VLOOKUP(B16,'서비스 Master'!$C$4:$P$62,10,FALSE)</f>
        <v>조래옥</v>
      </c>
      <c r="E16" s="75" t="str">
        <f>VLOOKUP(B16,'서비스 Master'!$C$4:$P$62,11,FALSE)</f>
        <v>정상률</v>
      </c>
      <c r="F16" s="72" t="s">
        <v>1133</v>
      </c>
      <c r="G16" s="74" t="s">
        <v>1190</v>
      </c>
      <c r="H16" s="74" t="s">
        <v>1191</v>
      </c>
      <c r="I16" s="203" t="s">
        <v>1192</v>
      </c>
      <c r="J16" s="153" t="s">
        <v>1193</v>
      </c>
      <c r="K16" s="222" t="s">
        <v>1194</v>
      </c>
      <c r="L16" s="207" t="s">
        <v>1195</v>
      </c>
    </row>
    <row r="17" spans="1:12" s="1" customFormat="1">
      <c r="A17" s="237" t="s">
        <v>178</v>
      </c>
      <c r="B17" s="81" t="s">
        <v>179</v>
      </c>
      <c r="C17" s="84" t="str">
        <f>VLOOKUP(B17,'서비스 Master'!$C$4:$P$62,14,FALSE)</f>
        <v>김햇빛</v>
      </c>
      <c r="D17" s="83" t="str">
        <f>VLOOKUP(B17,'서비스 Master'!$C$4:$P$62,10,FALSE)</f>
        <v>이인</v>
      </c>
      <c r="E17" s="83" t="str">
        <f>VLOOKUP(B17,'서비스 Master'!$C$4:$P$62,11,FALSE)</f>
        <v>박도현</v>
      </c>
      <c r="F17" s="84" t="s">
        <v>1128</v>
      </c>
      <c r="G17" s="83" t="s">
        <v>1196</v>
      </c>
      <c r="H17" s="83" t="s">
        <v>1197</v>
      </c>
      <c r="I17" s="205" t="s">
        <v>1198</v>
      </c>
      <c r="J17" s="199" t="s">
        <v>1199</v>
      </c>
      <c r="K17" s="199" t="s">
        <v>1200</v>
      </c>
      <c r="L17" s="210" t="s">
        <v>1201</v>
      </c>
    </row>
    <row r="18" spans="1:12" s="1" customFormat="1">
      <c r="A18" s="237"/>
      <c r="B18" s="73" t="s">
        <v>183</v>
      </c>
      <c r="C18" s="72" t="str">
        <f>VLOOKUP(B18,'서비스 Master'!$C$4:$P$62,14,FALSE)</f>
        <v>박상진</v>
      </c>
      <c r="D18" s="74" t="str">
        <f>VLOOKUP(B18,'서비스 Master'!$C$4:$P$62,10,FALSE)</f>
        <v>이인</v>
      </c>
      <c r="E18" s="74" t="str">
        <f>VLOOKUP(B18,'서비스 Master'!$C$4:$P$62,11,FALSE)</f>
        <v>김기정</v>
      </c>
      <c r="F18" s="72" t="s">
        <v>1128</v>
      </c>
      <c r="G18" s="74" t="s">
        <v>1202</v>
      </c>
      <c r="H18" s="74" t="s">
        <v>1157</v>
      </c>
      <c r="I18" s="203" t="s">
        <v>1203</v>
      </c>
      <c r="J18" s="129" t="s">
        <v>1204</v>
      </c>
      <c r="K18" s="129" t="s">
        <v>1205</v>
      </c>
      <c r="L18" s="207"/>
    </row>
    <row r="19" spans="1:12" s="1" customFormat="1">
      <c r="A19" s="237"/>
      <c r="B19" s="73" t="s">
        <v>1206</v>
      </c>
      <c r="C19" s="72" t="str">
        <f>VLOOKUP(B19,'서비스 Master'!$C$4:$P$62,14,FALSE)</f>
        <v>박상진</v>
      </c>
      <c r="D19" s="74" t="str">
        <f>VLOOKUP(B19,'서비스 Master'!$C$4:$P$62,10,FALSE)</f>
        <v>이인</v>
      </c>
      <c r="E19" s="74" t="str">
        <f>VLOOKUP(B19,'서비스 Master'!$C$4:$P$62,11,FALSE)</f>
        <v>김형일</v>
      </c>
      <c r="F19" s="72" t="s">
        <v>1128</v>
      </c>
      <c r="G19" s="74" t="s">
        <v>1207</v>
      </c>
      <c r="H19" s="74" t="s">
        <v>1157</v>
      </c>
      <c r="I19" s="203" t="s">
        <v>1208</v>
      </c>
      <c r="J19" s="200"/>
      <c r="K19" s="196" t="s">
        <v>1209</v>
      </c>
      <c r="L19" s="207"/>
    </row>
    <row r="20" spans="1:12" s="16" customFormat="1">
      <c r="A20" s="238"/>
      <c r="B20" s="76" t="s">
        <v>194</v>
      </c>
      <c r="C20" s="78">
        <f>VLOOKUP(B20,'서비스 Master'!$C$4:$P$62,14,FALSE)</f>
        <v>0</v>
      </c>
      <c r="D20" s="79">
        <f>VLOOKUP(B20,'서비스 Master'!$C$4:$P$62,10,FALSE)</f>
        <v>0</v>
      </c>
      <c r="E20" s="79">
        <f>VLOOKUP(B20,'서비스 Master'!$C$4:$P$62,11,FALSE)</f>
        <v>0</v>
      </c>
      <c r="F20" s="78"/>
      <c r="G20" s="79"/>
      <c r="H20" s="79"/>
      <c r="I20" s="204"/>
      <c r="J20" s="196" t="s">
        <v>1210</v>
      </c>
      <c r="K20" s="197"/>
      <c r="L20" s="208" t="s">
        <v>1211</v>
      </c>
    </row>
    <row r="21" spans="1:12" s="16" customFormat="1">
      <c r="A21" s="238"/>
      <c r="B21" s="76" t="s">
        <v>197</v>
      </c>
      <c r="C21" s="78">
        <f>VLOOKUP(B21,'서비스 Master'!$C$4:$P$62,14,FALSE)</f>
        <v>0</v>
      </c>
      <c r="D21" s="79">
        <f>VLOOKUP(B21,'서비스 Master'!$C$4:$P$62,10,FALSE)</f>
        <v>0</v>
      </c>
      <c r="E21" s="79">
        <f>VLOOKUP(B21,'서비스 Master'!$C$4:$P$62,11,FALSE)</f>
        <v>0</v>
      </c>
      <c r="F21" s="78"/>
      <c r="G21" s="79"/>
      <c r="H21" s="79"/>
      <c r="I21" s="204"/>
      <c r="J21" s="197"/>
      <c r="K21" s="197"/>
      <c r="L21" s="208" t="s">
        <v>1211</v>
      </c>
    </row>
    <row r="22" spans="1:12" s="1" customFormat="1">
      <c r="A22" s="237"/>
      <c r="B22" s="73" t="s">
        <v>635</v>
      </c>
      <c r="C22" s="72" t="str">
        <f>VLOOKUP(B22,'서비스 Master'!$C$4:$P$62,14,FALSE)</f>
        <v>박상진</v>
      </c>
      <c r="D22" s="74" t="str">
        <f>VLOOKUP(B22,'서비스 Master'!$C$4:$P$62,10,FALSE)</f>
        <v>이인</v>
      </c>
      <c r="E22" s="74" t="str">
        <f>VLOOKUP(B22,'서비스 Master'!$C$4:$P$62,11,FALSE)</f>
        <v>김형일</v>
      </c>
      <c r="F22" s="72" t="s">
        <v>1128</v>
      </c>
      <c r="G22" s="74" t="s">
        <v>1207</v>
      </c>
      <c r="H22" s="74" t="s">
        <v>1157</v>
      </c>
      <c r="I22" s="203" t="s">
        <v>1208</v>
      </c>
      <c r="J22" s="196" t="s">
        <v>1210</v>
      </c>
      <c r="K22" s="196" t="s">
        <v>1209</v>
      </c>
      <c r="L22" s="207"/>
    </row>
    <row r="23" spans="1:12" s="1" customFormat="1">
      <c r="A23" s="237"/>
      <c r="B23" s="73" t="s">
        <v>203</v>
      </c>
      <c r="C23" s="72" t="str">
        <f>VLOOKUP(B23,'서비스 Master'!$C$4:$P$62,14,FALSE)</f>
        <v>박상진</v>
      </c>
      <c r="D23" s="74" t="str">
        <f>VLOOKUP(B23,'서비스 Master'!$C$4:$P$62,10,FALSE)</f>
        <v>이인</v>
      </c>
      <c r="E23" s="74" t="str">
        <f>VLOOKUP(B23,'서비스 Master'!$C$4:$P$62,11,FALSE)</f>
        <v>김형일</v>
      </c>
      <c r="F23" s="72" t="s">
        <v>1128</v>
      </c>
      <c r="G23" s="74" t="s">
        <v>1207</v>
      </c>
      <c r="H23" s="74" t="s">
        <v>1157</v>
      </c>
      <c r="I23" s="203" t="s">
        <v>1208</v>
      </c>
      <c r="J23" s="196" t="s">
        <v>1210</v>
      </c>
      <c r="K23" s="196" t="s">
        <v>1209</v>
      </c>
      <c r="L23" s="207"/>
    </row>
    <row r="24" spans="1:12" s="1" customFormat="1">
      <c r="A24" s="237"/>
      <c r="B24" s="73" t="s">
        <v>1212</v>
      </c>
      <c r="C24" s="72" t="str">
        <f>VLOOKUP(B24,'서비스 Master'!$C$4:$P$62,14,FALSE)</f>
        <v>명진</v>
      </c>
      <c r="D24" s="74" t="str">
        <f>VLOOKUP(B24,'서비스 Master'!$C$4:$P$62,10,FALSE)</f>
        <v>이인</v>
      </c>
      <c r="E24" s="74" t="str">
        <f>VLOOKUP(B24,'서비스 Master'!$C$4:$P$62,11,FALSE)</f>
        <v>최창길</v>
      </c>
      <c r="F24" s="72" t="s">
        <v>1128</v>
      </c>
      <c r="G24" s="74" t="s">
        <v>1213</v>
      </c>
      <c r="H24" s="74" t="s">
        <v>1157</v>
      </c>
      <c r="I24" s="203" t="s">
        <v>1214</v>
      </c>
      <c r="J24" s="196" t="s">
        <v>1215</v>
      </c>
      <c r="K24" s="196" t="s">
        <v>1216</v>
      </c>
      <c r="L24" s="207"/>
    </row>
    <row r="25" spans="1:12" s="1" customFormat="1">
      <c r="A25" s="237"/>
      <c r="B25" s="73" t="s">
        <v>1217</v>
      </c>
      <c r="C25" s="72" t="str">
        <f>VLOOKUP(B25,'서비스 Master'!$C$4:$P$62,14,FALSE)</f>
        <v>명진</v>
      </c>
      <c r="D25" s="74" t="str">
        <f>VLOOKUP(B25,'서비스 Master'!$C$4:$P$62,10,FALSE)</f>
        <v>이용재</v>
      </c>
      <c r="E25" s="80" t="str">
        <f>VLOOKUP(B25,'서비스 Master'!$C$4:$P$62,11,FALSE)</f>
        <v>구본호</v>
      </c>
      <c r="F25" s="72" t="s">
        <v>1128</v>
      </c>
      <c r="G25" s="74" t="s">
        <v>1166</v>
      </c>
      <c r="H25" s="74" t="s">
        <v>1130</v>
      </c>
      <c r="I25" s="203" t="s">
        <v>1167</v>
      </c>
      <c r="J25" s="153" t="s">
        <v>1168</v>
      </c>
      <c r="K25" s="196" t="s">
        <v>1169</v>
      </c>
      <c r="L25" s="209"/>
    </row>
    <row r="26" spans="1:12" s="1" customFormat="1">
      <c r="A26" s="237"/>
      <c r="B26" s="73" t="s">
        <v>686</v>
      </c>
      <c r="C26" s="72" t="str">
        <f>VLOOKUP(B26,'서비스 Master'!$C$4:$P$62,14,FALSE)</f>
        <v>박상진</v>
      </c>
      <c r="D26" s="74" t="str">
        <f>VLOOKUP(B26,'서비스 Master'!$C$4:$P$62,10,FALSE)</f>
        <v>이인</v>
      </c>
      <c r="E26" s="74" t="str">
        <f>VLOOKUP(B26,'서비스 Master'!$C$4:$P$62,11,FALSE)</f>
        <v>김은수</v>
      </c>
      <c r="F26" s="72" t="s">
        <v>1133</v>
      </c>
      <c r="G26" s="74" t="s">
        <v>1218</v>
      </c>
      <c r="H26" s="74" t="s">
        <v>1219</v>
      </c>
      <c r="I26" s="203" t="s">
        <v>1220</v>
      </c>
      <c r="J26" s="129" t="s">
        <v>1221</v>
      </c>
      <c r="K26" s="153" t="s">
        <v>1222</v>
      </c>
      <c r="L26" s="207"/>
    </row>
    <row r="27" spans="1:12" s="1" customFormat="1">
      <c r="A27" s="237"/>
      <c r="B27" s="73" t="s">
        <v>1223</v>
      </c>
      <c r="C27" s="72" t="str">
        <f>VLOOKUP(B27,'서비스 Master'!$C$4:$P$62,14,FALSE)</f>
        <v>박상진</v>
      </c>
      <c r="D27" s="74" t="str">
        <f>VLOOKUP(B27,'서비스 Master'!$C$4:$P$62,10,FALSE)</f>
        <v>이인</v>
      </c>
      <c r="E27" s="75" t="str">
        <f>VLOOKUP(B27,'서비스 Master'!$C$4:$P$62,11,FALSE)</f>
        <v>정정배/김기정</v>
      </c>
      <c r="F27" s="72" t="s">
        <v>1128</v>
      </c>
      <c r="G27" s="74" t="s">
        <v>1156</v>
      </c>
      <c r="H27" s="74" t="s">
        <v>1157</v>
      </c>
      <c r="I27" s="203" t="s">
        <v>1158</v>
      </c>
      <c r="J27" s="129" t="s">
        <v>1159</v>
      </c>
      <c r="K27" s="129" t="s">
        <v>1160</v>
      </c>
      <c r="L27" s="207"/>
    </row>
    <row r="28" spans="1:12" s="1" customFormat="1">
      <c r="A28" s="237"/>
      <c r="B28" s="73" t="s">
        <v>1224</v>
      </c>
      <c r="C28" s="72" t="str">
        <f>VLOOKUP(B28,'서비스 Master'!$C$4:$P$62,14,FALSE)</f>
        <v>박상진</v>
      </c>
      <c r="D28" s="74" t="str">
        <f>VLOOKUP(B28,'서비스 Master'!$C$4:$P$62,10,FALSE)</f>
        <v>이인</v>
      </c>
      <c r="E28" s="74" t="str">
        <f>VLOOKUP(B28,'서비스 Master'!$C$4:$P$62,11,FALSE)</f>
        <v>김형일</v>
      </c>
      <c r="F28" s="72" t="s">
        <v>1128</v>
      </c>
      <c r="G28" s="74" t="s">
        <v>1207</v>
      </c>
      <c r="H28" s="74" t="s">
        <v>1157</v>
      </c>
      <c r="I28" s="203" t="s">
        <v>1208</v>
      </c>
      <c r="J28" s="196" t="s">
        <v>1210</v>
      </c>
      <c r="K28" s="196" t="s">
        <v>1209</v>
      </c>
      <c r="L28" s="207"/>
    </row>
    <row r="29" spans="1:12" s="1" customFormat="1">
      <c r="A29" s="237"/>
      <c r="B29" s="73" t="s">
        <v>1225</v>
      </c>
      <c r="C29" s="72" t="str">
        <f>VLOOKUP(B29,'서비스 Master'!$C$4:$P$62,14,FALSE)</f>
        <v>임준식</v>
      </c>
      <c r="D29" s="74" t="str">
        <f>VLOOKUP(B29,'서비스 Master'!$C$4:$P$62,10,FALSE)</f>
        <v>이인</v>
      </c>
      <c r="E29" s="74" t="str">
        <f>VLOOKUP(B29,'서비스 Master'!$C$4:$P$62,11,FALSE)</f>
        <v>최용진</v>
      </c>
      <c r="F29" s="72" t="s">
        <v>1128</v>
      </c>
      <c r="G29" s="74" t="s">
        <v>1226</v>
      </c>
      <c r="H29" s="74" t="s">
        <v>1157</v>
      </c>
      <c r="I29" s="203" t="s">
        <v>1227</v>
      </c>
      <c r="J29" s="196" t="s">
        <v>1228</v>
      </c>
      <c r="K29" s="196" t="s">
        <v>1229</v>
      </c>
      <c r="L29" s="207"/>
    </row>
    <row r="30" spans="1:12" s="1" customFormat="1">
      <c r="A30" s="237"/>
      <c r="B30" s="73" t="s">
        <v>241</v>
      </c>
      <c r="C30" s="72" t="str">
        <f>VLOOKUP(B30,'서비스 Master'!$C$4:$P$62,14,FALSE)</f>
        <v>임준식</v>
      </c>
      <c r="D30" s="74" t="str">
        <f>VLOOKUP(B30,'서비스 Master'!$C$4:$P$62,10,FALSE)</f>
        <v>이인</v>
      </c>
      <c r="E30" s="74" t="str">
        <f>VLOOKUP(B30,'서비스 Master'!$C$4:$P$62,11,FALSE)</f>
        <v>최창길</v>
      </c>
      <c r="F30" s="72" t="s">
        <v>1128</v>
      </c>
      <c r="G30" s="74" t="s">
        <v>1213</v>
      </c>
      <c r="H30" s="74" t="s">
        <v>1157</v>
      </c>
      <c r="I30" s="203" t="s">
        <v>1214</v>
      </c>
      <c r="J30" s="196" t="s">
        <v>1215</v>
      </c>
      <c r="K30" s="196" t="s">
        <v>1216</v>
      </c>
      <c r="L30" s="207"/>
    </row>
    <row r="31" spans="1:12" s="16" customFormat="1">
      <c r="A31" s="237" t="s">
        <v>245</v>
      </c>
      <c r="B31" s="76" t="s">
        <v>246</v>
      </c>
      <c r="C31" s="78">
        <f>VLOOKUP(B31,'서비스 Master'!$C$4:$P$62,14,FALSE)</f>
        <v>0</v>
      </c>
      <c r="D31" s="79">
        <f>VLOOKUP(B31,'서비스 Master'!$C$4:$P$62,10,FALSE)</f>
        <v>0</v>
      </c>
      <c r="E31" s="79">
        <f>VLOOKUP(B31,'서비스 Master'!$C$4:$P$62,11,FALSE)</f>
        <v>0</v>
      </c>
      <c r="F31" s="78"/>
      <c r="G31" s="79"/>
      <c r="H31" s="79"/>
      <c r="I31" s="204"/>
      <c r="J31" s="197"/>
      <c r="K31" s="197"/>
      <c r="L31" s="208" t="s">
        <v>1211</v>
      </c>
    </row>
    <row r="32" spans="1:12" s="1" customFormat="1" ht="13.5" customHeight="1">
      <c r="A32" s="237"/>
      <c r="B32" s="73" t="s">
        <v>759</v>
      </c>
      <c r="C32" s="72" t="str">
        <f>VLOOKUP(B32,'서비스 Master'!$C$4:$P$62,14,FALSE)</f>
        <v>명진</v>
      </c>
      <c r="D32" s="74" t="str">
        <f>VLOOKUP(B32,'서비스 Master'!$C$4:$P$62,10,FALSE)</f>
        <v>이인</v>
      </c>
      <c r="E32" s="74" t="str">
        <f>VLOOKUP(B32,'서비스 Master'!$C$4:$P$62,11,FALSE)</f>
        <v>윤호정</v>
      </c>
      <c r="F32" s="72" t="s">
        <v>1133</v>
      </c>
      <c r="G32" s="74" t="s">
        <v>1230</v>
      </c>
      <c r="H32" s="74" t="s">
        <v>1231</v>
      </c>
      <c r="I32" s="203" t="s">
        <v>1232</v>
      </c>
      <c r="J32" s="196" t="s">
        <v>1233</v>
      </c>
      <c r="K32" s="222" t="s">
        <v>1234</v>
      </c>
      <c r="L32" s="207"/>
    </row>
    <row r="33" spans="1:14" s="1" customFormat="1">
      <c r="A33" s="237"/>
      <c r="B33" s="73" t="s">
        <v>1235</v>
      </c>
      <c r="C33" s="72" t="str">
        <f>VLOOKUP(B33,'서비스 Master'!$C$4:$P$62,14,FALSE)</f>
        <v>명진</v>
      </c>
      <c r="D33" s="74" t="str">
        <f>VLOOKUP(B33,'서비스 Master'!$C$4:$P$62,10,FALSE)</f>
        <v>이인</v>
      </c>
      <c r="E33" s="74" t="str">
        <f>VLOOKUP(B33,'서비스 Master'!$C$4:$P$62,11,FALSE)</f>
        <v>김소영/황영주</v>
      </c>
      <c r="F33" s="72" t="s">
        <v>1133</v>
      </c>
      <c r="G33" s="90" t="s">
        <v>1236</v>
      </c>
      <c r="H33" s="74" t="s">
        <v>1237</v>
      </c>
      <c r="I33" s="203" t="s">
        <v>1238</v>
      </c>
      <c r="J33" s="196"/>
      <c r="K33" s="153" t="s">
        <v>1239</v>
      </c>
      <c r="L33" s="207" t="s">
        <v>1240</v>
      </c>
    </row>
    <row r="34" spans="1:14" s="1" customFormat="1">
      <c r="A34" s="237"/>
      <c r="B34" s="73" t="s">
        <v>256</v>
      </c>
      <c r="C34" s="72" t="str">
        <f>VLOOKUP(B34,'서비스 Master'!$C$4:$P$62,14,FALSE)</f>
        <v>명진</v>
      </c>
      <c r="D34" s="74" t="str">
        <f>VLOOKUP(B34,'서비스 Master'!$C$4:$P$62,10,FALSE)</f>
        <v>이인</v>
      </c>
      <c r="E34" s="74" t="str">
        <f>VLOOKUP(B34,'서비스 Master'!$C$4:$P$62,11,FALSE)</f>
        <v>김민준</v>
      </c>
      <c r="F34" s="72" t="s">
        <v>1128</v>
      </c>
      <c r="G34" s="74" t="s">
        <v>1241</v>
      </c>
      <c r="H34" s="74" t="s">
        <v>1242</v>
      </c>
      <c r="I34" s="203" t="s">
        <v>1243</v>
      </c>
      <c r="J34" s="196" t="s">
        <v>1244</v>
      </c>
      <c r="K34" s="196" t="s">
        <v>1245</v>
      </c>
      <c r="L34" s="207"/>
    </row>
    <row r="35" spans="1:14" s="1" customFormat="1" ht="16.5">
      <c r="A35" s="237"/>
      <c r="B35" s="73" t="s">
        <v>261</v>
      </c>
      <c r="C35" s="72" t="str">
        <f>VLOOKUP(B35,'서비스 Master'!$C$4:$P$62,14,FALSE)</f>
        <v>명진</v>
      </c>
      <c r="D35" s="74" t="str">
        <f>VLOOKUP(B35,'서비스 Master'!$C$4:$P$62,10,FALSE)</f>
        <v>이인</v>
      </c>
      <c r="E35" s="74" t="str">
        <f>VLOOKUP(B35,'서비스 Master'!$C$4:$P$62,11,FALSE)</f>
        <v>박우선</v>
      </c>
      <c r="F35" s="72" t="s">
        <v>1133</v>
      </c>
      <c r="G35" s="74" t="s">
        <v>100</v>
      </c>
      <c r="H35" s="74" t="s">
        <v>1246</v>
      </c>
      <c r="I35" s="206" t="s">
        <v>1247</v>
      </c>
      <c r="J35" s="196"/>
      <c r="K35" s="128" t="s">
        <v>1248</v>
      </c>
      <c r="L35" s="91" t="s">
        <v>1249</v>
      </c>
    </row>
    <row r="36" spans="1:14" s="1" customFormat="1">
      <c r="A36" s="237"/>
      <c r="B36" s="73" t="s">
        <v>266</v>
      </c>
      <c r="C36" s="72" t="str">
        <f>VLOOKUP(B36,'서비스 Master'!$C$4:$P$62,14,FALSE)</f>
        <v>명진</v>
      </c>
      <c r="D36" s="74" t="str">
        <f>VLOOKUP(B36,'서비스 Master'!$C$4:$P$62,10,FALSE)</f>
        <v>이인</v>
      </c>
      <c r="E36" s="74" t="s">
        <v>1250</v>
      </c>
      <c r="F36" s="72" t="s">
        <v>1133</v>
      </c>
      <c r="G36" s="74" t="s">
        <v>1251</v>
      </c>
      <c r="H36" s="74" t="s">
        <v>1252</v>
      </c>
      <c r="I36" s="203" t="s">
        <v>1253</v>
      </c>
      <c r="J36" s="129" t="s">
        <v>1254</v>
      </c>
      <c r="K36" s="153" t="s">
        <v>1255</v>
      </c>
      <c r="L36" s="207" t="s">
        <v>1256</v>
      </c>
    </row>
    <row r="37" spans="1:14" s="1" customFormat="1" ht="16.5">
      <c r="A37" s="237"/>
      <c r="B37" s="73" t="s">
        <v>1257</v>
      </c>
      <c r="C37" s="72" t="str">
        <f>VLOOKUP(B37,'서비스 Master'!$C$4:$P$62,14,FALSE)</f>
        <v>명진</v>
      </c>
      <c r="D37" s="74" t="str">
        <f>VLOOKUP(B37,'서비스 Master'!$C$4:$P$62,10,FALSE)</f>
        <v>이인</v>
      </c>
      <c r="E37" s="74" t="str">
        <f>VLOOKUP(B37,'서비스 Master'!$C$4:$P$62,11,FALSE)</f>
        <v>김학준/이기석</v>
      </c>
      <c r="F37" s="72" t="s">
        <v>1133</v>
      </c>
      <c r="G37" s="74" t="s">
        <v>1258</v>
      </c>
      <c r="H37" s="74" t="s">
        <v>1259</v>
      </c>
      <c r="I37" s="203" t="s">
        <v>1260</v>
      </c>
      <c r="J37" s="196"/>
      <c r="K37" s="222" t="s">
        <v>1261</v>
      </c>
      <c r="L37" s="207" t="s">
        <v>1262</v>
      </c>
    </row>
    <row r="38" spans="1:14" s="1" customFormat="1" ht="16.5">
      <c r="A38" s="237" t="s">
        <v>279</v>
      </c>
      <c r="B38" s="73" t="s">
        <v>1263</v>
      </c>
      <c r="C38" s="72" t="str">
        <f>VLOOKUP(B38,'서비스 Master'!$C$4:$P$62,14,FALSE)</f>
        <v>김햇빛</v>
      </c>
      <c r="D38" s="75" t="str">
        <f>VLOOKUP(B38,'서비스 Master'!$C$4:$P$62,10,FALSE)</f>
        <v>이용재</v>
      </c>
      <c r="E38" s="75" t="str">
        <f>VLOOKUP(B38,'서비스 Master'!$C$4:$P$62,11,FALSE)</f>
        <v>우은정</v>
      </c>
      <c r="F38" s="72" t="s">
        <v>1133</v>
      </c>
      <c r="G38" s="90" t="s">
        <v>1264</v>
      </c>
      <c r="H38" s="74" t="s">
        <v>1265</v>
      </c>
      <c r="I38" s="203" t="s">
        <v>1266</v>
      </c>
      <c r="J38" s="196"/>
      <c r="K38" s="222" t="s">
        <v>1267</v>
      </c>
      <c r="L38" s="207"/>
    </row>
    <row r="39" spans="1:14" s="1" customFormat="1">
      <c r="A39" s="237"/>
      <c r="B39" s="81" t="s">
        <v>1268</v>
      </c>
      <c r="C39" s="84" t="str">
        <f>VLOOKUP(B39,'서비스 Master'!$C$4:$P$62,14,FALSE)</f>
        <v>김햇빛</v>
      </c>
      <c r="D39" s="82" t="str">
        <f>VLOOKUP(B39,'서비스 Master'!$C$4:$P$62,10,FALSE)</f>
        <v>이인</v>
      </c>
      <c r="E39" s="83" t="str">
        <f>VLOOKUP(B39,'서비스 Master'!$C$4:$P$62,11,FALSE)</f>
        <v>최용진</v>
      </c>
      <c r="F39" s="84" t="s">
        <v>1128</v>
      </c>
      <c r="G39" s="83" t="s">
        <v>1226</v>
      </c>
      <c r="H39" s="83" t="s">
        <v>1157</v>
      </c>
      <c r="I39" s="205" t="s">
        <v>1227</v>
      </c>
      <c r="J39" s="199" t="s">
        <v>1228</v>
      </c>
      <c r="K39" s="199" t="s">
        <v>1229</v>
      </c>
      <c r="L39" s="210" t="s">
        <v>934</v>
      </c>
    </row>
    <row r="40" spans="1:14" s="1" customFormat="1" ht="16.5">
      <c r="A40" s="237"/>
      <c r="B40" s="73" t="s">
        <v>290</v>
      </c>
      <c r="C40" s="72" t="str">
        <f>VLOOKUP(B40,'서비스 Master'!$C$4:$P$62,14,FALSE)</f>
        <v>김햇빛</v>
      </c>
      <c r="D40" s="75" t="str">
        <f>VLOOKUP(B40,'서비스 Master'!$C$4:$P$62,10,FALSE)</f>
        <v>이용재</v>
      </c>
      <c r="E40" s="74" t="s">
        <v>292</v>
      </c>
      <c r="F40" s="72" t="s">
        <v>1133</v>
      </c>
      <c r="G40" s="74" t="s">
        <v>1269</v>
      </c>
      <c r="H40" s="74" t="s">
        <v>1270</v>
      </c>
      <c r="I40" s="203" t="s">
        <v>1271</v>
      </c>
      <c r="J40" s="153" t="s">
        <v>1272</v>
      </c>
      <c r="K40" s="222" t="s">
        <v>1273</v>
      </c>
      <c r="L40" s="207" t="s">
        <v>1274</v>
      </c>
    </row>
    <row r="41" spans="1:14" s="1" customFormat="1">
      <c r="A41" s="237"/>
      <c r="B41" s="73" t="s">
        <v>1275</v>
      </c>
      <c r="C41" s="72" t="str">
        <f>VLOOKUP(B41,'서비스 Master'!$C$4:$P$62,14,FALSE)</f>
        <v>김햇빛</v>
      </c>
      <c r="D41" s="75" t="str">
        <f>VLOOKUP(B41,'서비스 Master'!$C$4:$P$62,10,FALSE)</f>
        <v>이용재</v>
      </c>
      <c r="E41" s="74" t="str">
        <f>VLOOKUP(B41,'서비스 Master'!$C$4:$P$62,11,FALSE)</f>
        <v>한만석</v>
      </c>
      <c r="F41" s="72" t="s">
        <v>1133</v>
      </c>
      <c r="G41" s="74" t="s">
        <v>1276</v>
      </c>
      <c r="H41" s="74" t="s">
        <v>1277</v>
      </c>
      <c r="I41" s="203" t="s">
        <v>1278</v>
      </c>
      <c r="J41" s="129"/>
      <c r="K41" s="153" t="s">
        <v>1279</v>
      </c>
      <c r="L41" s="207" t="s">
        <v>1280</v>
      </c>
    </row>
    <row r="42" spans="1:14" s="1" customFormat="1">
      <c r="A42" s="237"/>
      <c r="B42" s="73" t="s">
        <v>301</v>
      </c>
      <c r="C42" s="72" t="str">
        <f>VLOOKUP(B42,'서비스 Master'!$C$4:$P$62,14,FALSE)</f>
        <v>김햇빛</v>
      </c>
      <c r="D42" s="75" t="str">
        <f>VLOOKUP(B42,'서비스 Master'!$C$4:$P$62,10,FALSE)</f>
        <v>이용재</v>
      </c>
      <c r="E42" s="74" t="str">
        <f>VLOOKUP(B42,'서비스 Master'!$C$4:$P$62,11,FALSE)</f>
        <v>유민아</v>
      </c>
      <c r="F42" s="72" t="s">
        <v>1128</v>
      </c>
      <c r="G42" s="74" t="s">
        <v>1281</v>
      </c>
      <c r="H42" s="74" t="s">
        <v>1282</v>
      </c>
      <c r="I42" s="203" t="s">
        <v>1283</v>
      </c>
      <c r="J42" s="196" t="s">
        <v>1284</v>
      </c>
      <c r="K42" s="196" t="s">
        <v>1285</v>
      </c>
      <c r="L42" s="207"/>
    </row>
    <row r="43" spans="1:14" s="16" customFormat="1">
      <c r="A43" s="238"/>
      <c r="B43" s="76" t="s">
        <v>309</v>
      </c>
      <c r="C43" s="78">
        <f>VLOOKUP(B43,'서비스 Master'!$C$4:$P$62,14,FALSE)</f>
        <v>0</v>
      </c>
      <c r="D43" s="77">
        <f>VLOOKUP(B43,'서비스 Master'!$C$4:$P$62,10,FALSE)</f>
        <v>0</v>
      </c>
      <c r="E43" s="77">
        <f>VLOOKUP(B43,'서비스 Master'!$C$4:$P$62,11,FALSE)</f>
        <v>0</v>
      </c>
      <c r="F43" s="78"/>
      <c r="G43" s="79"/>
      <c r="H43" s="79"/>
      <c r="I43" s="204"/>
      <c r="J43" s="197"/>
      <c r="K43" s="197"/>
      <c r="L43" s="208" t="s">
        <v>101</v>
      </c>
    </row>
    <row r="44" spans="1:14" s="1" customFormat="1" ht="13.5" customHeight="1">
      <c r="A44" s="237" t="s">
        <v>310</v>
      </c>
      <c r="B44" s="73" t="s">
        <v>1286</v>
      </c>
      <c r="C44" s="72" t="str">
        <f>VLOOKUP(B44,'서비스 Master'!$C$4:$P$62,14,FALSE)</f>
        <v>임준식</v>
      </c>
      <c r="D44" s="75" t="str">
        <f>VLOOKUP(B44,'서비스 Master'!$C$4:$P$62,10,FALSE)</f>
        <v>이용재</v>
      </c>
      <c r="E44" s="74" t="str">
        <f>VLOOKUP(B44,'서비스 Master'!$C$4:$P$62,11,FALSE)</f>
        <v>이재영</v>
      </c>
      <c r="F44" s="72" t="s">
        <v>1128</v>
      </c>
      <c r="G44" s="74" t="s">
        <v>1287</v>
      </c>
      <c r="H44" s="74" t="s">
        <v>1130</v>
      </c>
      <c r="I44" s="203" t="s">
        <v>1288</v>
      </c>
      <c r="J44" s="196" t="s">
        <v>1289</v>
      </c>
      <c r="K44" s="196" t="s">
        <v>1290</v>
      </c>
      <c r="L44" s="207"/>
    </row>
    <row r="45" spans="1:14" s="1" customFormat="1" ht="13.5" customHeight="1">
      <c r="A45" s="237"/>
      <c r="B45" s="73" t="s">
        <v>1291</v>
      </c>
      <c r="C45" s="72" t="str">
        <f>VLOOKUP(B45,'서비스 Master'!$C$4:$P$62,14,FALSE)</f>
        <v>박상진</v>
      </c>
      <c r="D45" s="75" t="str">
        <f>VLOOKUP(B45,'서비스 Master'!$C$4:$P$62,10,FALSE)</f>
        <v>이용재</v>
      </c>
      <c r="E45" s="74" t="str">
        <f>VLOOKUP(B45,'서비스 Master'!$C$4:$P$62,11,FALSE)</f>
        <v>이재영</v>
      </c>
      <c r="F45" s="72" t="s">
        <v>1128</v>
      </c>
      <c r="G45" s="74" t="s">
        <v>1287</v>
      </c>
      <c r="H45" s="74" t="s">
        <v>1130</v>
      </c>
      <c r="I45" s="203" t="s">
        <v>1288</v>
      </c>
      <c r="J45" s="196" t="s">
        <v>1289</v>
      </c>
      <c r="K45" s="196" t="s">
        <v>1290</v>
      </c>
      <c r="L45" s="207"/>
    </row>
    <row r="46" spans="1:14" s="1" customFormat="1">
      <c r="A46" s="237" t="s">
        <v>321</v>
      </c>
      <c r="B46" s="73" t="s">
        <v>322</v>
      </c>
      <c r="C46" s="72" t="str">
        <f>VLOOKUP(B46,'서비스 Master'!$C$4:$P$62,14,FALSE)</f>
        <v>명진</v>
      </c>
      <c r="D46" s="75" t="str">
        <f>VLOOKUP(B46,'서비스 Master'!$C$4:$P$62,10,FALSE)</f>
        <v>이용재</v>
      </c>
      <c r="E46" s="74" t="str">
        <f>VLOOKUP(B46,'서비스 Master'!$C$4:$P$62,11,FALSE)</f>
        <v>최봉진</v>
      </c>
      <c r="F46" s="72" t="s">
        <v>1128</v>
      </c>
      <c r="G46" s="74" t="s">
        <v>1292</v>
      </c>
      <c r="H46" s="74" t="s">
        <v>1282</v>
      </c>
      <c r="I46" s="203" t="s">
        <v>1293</v>
      </c>
      <c r="J46" s="153" t="s">
        <v>1294</v>
      </c>
      <c r="K46" s="153" t="s">
        <v>1295</v>
      </c>
      <c r="L46" s="207"/>
      <c r="N46" s="1" t="s">
        <v>1296</v>
      </c>
    </row>
    <row r="47" spans="1:14" s="16" customFormat="1">
      <c r="A47" s="238"/>
      <c r="B47" s="76" t="s">
        <v>330</v>
      </c>
      <c r="C47" s="78">
        <f>VLOOKUP(B47,'서비스 Master'!$C$4:$P$62,14,FALSE)</f>
        <v>0</v>
      </c>
      <c r="D47" s="77">
        <f>VLOOKUP(B47,'서비스 Master'!$C$4:$P$62,10,FALSE)</f>
        <v>0</v>
      </c>
      <c r="E47" s="77">
        <f>VLOOKUP(B47,'서비스 Master'!$C$4:$P$62,11,FALSE)</f>
        <v>0</v>
      </c>
      <c r="F47" s="78"/>
      <c r="G47" s="79"/>
      <c r="H47" s="79"/>
      <c r="I47" s="204"/>
      <c r="J47" s="197"/>
      <c r="K47" s="197"/>
      <c r="L47" s="208" t="s">
        <v>101</v>
      </c>
    </row>
    <row r="48" spans="1:14" s="1" customFormat="1">
      <c r="A48" s="237" t="s">
        <v>331</v>
      </c>
      <c r="B48" s="73" t="s">
        <v>332</v>
      </c>
      <c r="C48" s="72" t="str">
        <f>VLOOKUP(B48,'서비스 Master'!$C$4:$P$62,14,FALSE)</f>
        <v>명진</v>
      </c>
      <c r="D48" s="75" t="str">
        <f>VLOOKUP(B48,'서비스 Master'!$C$4:$P$62,10,FALSE)</f>
        <v>이용재</v>
      </c>
      <c r="E48" s="75" t="str">
        <f>VLOOKUP(B48,'서비스 Master'!$C$4:$P$62,11,FALSE)</f>
        <v>최창길/김기정</v>
      </c>
      <c r="F48" s="72" t="s">
        <v>1128</v>
      </c>
      <c r="G48" s="74" t="s">
        <v>1297</v>
      </c>
      <c r="H48" s="74" t="s">
        <v>1157</v>
      </c>
      <c r="I48" s="203" t="s">
        <v>1298</v>
      </c>
      <c r="J48" s="129" t="s">
        <v>1299</v>
      </c>
      <c r="K48" s="129" t="s">
        <v>1300</v>
      </c>
      <c r="L48" s="207"/>
    </row>
    <row r="49" spans="1:12" s="1" customFormat="1">
      <c r="A49" s="237"/>
      <c r="B49" s="73" t="s">
        <v>337</v>
      </c>
      <c r="C49" s="72" t="str">
        <f>VLOOKUP(B49,'서비스 Master'!$C$4:$P$62,14,FALSE)</f>
        <v>박상진</v>
      </c>
      <c r="D49" s="75" t="str">
        <f>VLOOKUP(B49,'서비스 Master'!$C$4:$P$62,10,FALSE)</f>
        <v>이용재</v>
      </c>
      <c r="E49" s="75" t="str">
        <f>VLOOKUP(B49,'서비스 Master'!$C$4:$P$62,11,FALSE)</f>
        <v>최창길/김기정</v>
      </c>
      <c r="F49" s="72" t="s">
        <v>1128</v>
      </c>
      <c r="G49" s="74" t="s">
        <v>1297</v>
      </c>
      <c r="H49" s="74" t="s">
        <v>1157</v>
      </c>
      <c r="I49" s="203" t="s">
        <v>1298</v>
      </c>
      <c r="J49" s="129" t="s">
        <v>1299</v>
      </c>
      <c r="K49" s="129" t="s">
        <v>1300</v>
      </c>
      <c r="L49" s="207"/>
    </row>
    <row r="50" spans="1:12" s="1" customFormat="1">
      <c r="A50" s="237"/>
      <c r="B50" s="73" t="s">
        <v>340</v>
      </c>
      <c r="C50" s="72" t="str">
        <f>VLOOKUP(B50,'서비스 Master'!$C$4:$P$62,14,FALSE)</f>
        <v>임준식</v>
      </c>
      <c r="D50" s="75" t="str">
        <f>VLOOKUP(B50,'서비스 Master'!$C$4:$P$62,10,FALSE)</f>
        <v>이용재</v>
      </c>
      <c r="E50" s="75" t="str">
        <f>VLOOKUP(B50,'서비스 Master'!$C$4:$P$62,11,FALSE)</f>
        <v>최창길/김기정</v>
      </c>
      <c r="F50" s="72" t="s">
        <v>1128</v>
      </c>
      <c r="G50" s="74" t="s">
        <v>1297</v>
      </c>
      <c r="H50" s="74" t="s">
        <v>1157</v>
      </c>
      <c r="I50" s="203" t="s">
        <v>1298</v>
      </c>
      <c r="J50" s="129" t="s">
        <v>1299</v>
      </c>
      <c r="K50" s="129" t="s">
        <v>1300</v>
      </c>
      <c r="L50" s="207"/>
    </row>
    <row r="51" spans="1:12" s="1" customFormat="1" ht="16.5">
      <c r="A51" s="237" t="s">
        <v>342</v>
      </c>
      <c r="B51" s="73" t="s">
        <v>1301</v>
      </c>
      <c r="C51" s="72" t="str">
        <f>VLOOKUP(B51,'서비스 Master'!$C$4:$P$62,14,FALSE)</f>
        <v>명진</v>
      </c>
      <c r="D51" s="75" t="str">
        <f>VLOOKUP(B51,'서비스 Master'!$C$4:$P$62,10,FALSE)</f>
        <v>이용재</v>
      </c>
      <c r="E51" s="75" t="str">
        <f>VLOOKUP(B51,'서비스 Master'!$C$4:$P$62,11,FALSE)</f>
        <v>최슬기</v>
      </c>
      <c r="F51" s="72" t="s">
        <v>1133</v>
      </c>
      <c r="G51" s="74" t="s">
        <v>1302</v>
      </c>
      <c r="H51" s="74" t="s">
        <v>1303</v>
      </c>
      <c r="I51" s="203" t="s">
        <v>1304</v>
      </c>
      <c r="J51" s="129" t="s">
        <v>1305</v>
      </c>
      <c r="K51" s="222" t="s">
        <v>1306</v>
      </c>
      <c r="L51" s="207"/>
    </row>
    <row r="52" spans="1:12" s="1" customFormat="1">
      <c r="A52" s="237"/>
      <c r="B52" s="73" t="s">
        <v>1307</v>
      </c>
      <c r="C52" s="72" t="str">
        <f>VLOOKUP(B52,'서비스 Master'!$C$4:$P$62,14,FALSE)</f>
        <v>명진</v>
      </c>
      <c r="D52" s="75" t="str">
        <f>VLOOKUP(B52,'서비스 Master'!$C$4:$P$62,10,FALSE)</f>
        <v>이용재</v>
      </c>
      <c r="E52" s="74" t="str">
        <f>VLOOKUP(B52,'서비스 Master'!$C$4:$P$62,11,FALSE)</f>
        <v>정정배</v>
      </c>
      <c r="F52" s="72" t="s">
        <v>1128</v>
      </c>
      <c r="G52" s="74" t="s">
        <v>1308</v>
      </c>
      <c r="H52" s="74" t="s">
        <v>1157</v>
      </c>
      <c r="I52" s="203" t="s">
        <v>1309</v>
      </c>
      <c r="J52" s="196" t="s">
        <v>1310</v>
      </c>
      <c r="K52" s="196" t="s">
        <v>1311</v>
      </c>
      <c r="L52" s="207"/>
    </row>
    <row r="53" spans="1:12" s="1" customFormat="1">
      <c r="A53" s="237"/>
      <c r="B53" s="73" t="s">
        <v>1312</v>
      </c>
      <c r="C53" s="72" t="str">
        <f>VLOOKUP(B53,'서비스 Master'!$C$4:$P$62,14,FALSE)</f>
        <v>명진</v>
      </c>
      <c r="D53" s="75" t="str">
        <f>VLOOKUP(B53,'서비스 Master'!$C$4:$P$62,10,FALSE)</f>
        <v>이용재</v>
      </c>
      <c r="E53" s="80" t="str">
        <f>VLOOKUP(B53,'서비스 Master'!$C$4:$P$62,11,FALSE)</f>
        <v>박정현</v>
      </c>
      <c r="F53" s="72" t="s">
        <v>1128</v>
      </c>
      <c r="G53" s="74" t="s">
        <v>1313</v>
      </c>
      <c r="H53" s="74" t="s">
        <v>1130</v>
      </c>
      <c r="I53" s="203" t="s">
        <v>1314</v>
      </c>
      <c r="J53" s="153" t="s">
        <v>1315</v>
      </c>
      <c r="K53" s="196" t="s">
        <v>1316</v>
      </c>
      <c r="L53" s="207"/>
    </row>
    <row r="54" spans="1:12">
      <c r="A54" s="237" t="s">
        <v>360</v>
      </c>
      <c r="B54" s="74" t="s">
        <v>361</v>
      </c>
      <c r="C54" s="72" t="str">
        <f>VLOOKUP(B54,'서비스 Master'!$C$4:$P$62,14,FALSE)</f>
        <v>명진</v>
      </c>
      <c r="D54" s="74" t="str">
        <f>VLOOKUP(B54,'서비스 Master'!$C$4:$P$62,10,FALSE)</f>
        <v>오성민</v>
      </c>
      <c r="E54" s="74" t="str">
        <f>VLOOKUP(B54,'서비스 Master'!$C$4:$P$62,11,FALSE)</f>
        <v>김광원 외 13명</v>
      </c>
      <c r="F54" s="72" t="s">
        <v>1128</v>
      </c>
      <c r="G54" s="74"/>
      <c r="H54" s="80"/>
      <c r="I54" s="203"/>
      <c r="J54" s="196"/>
      <c r="K54" s="196"/>
      <c r="L54" s="207"/>
    </row>
    <row r="55" spans="1:12">
      <c r="A55" s="237"/>
      <c r="B55" s="74" t="s">
        <v>370</v>
      </c>
      <c r="C55" s="72" t="str">
        <f>VLOOKUP(B55,'서비스 Master'!$C$4:$P$62,14,FALSE)</f>
        <v>명진</v>
      </c>
      <c r="D55" s="74" t="str">
        <f>VLOOKUP(B55,'서비스 Master'!$C$4:$P$62,10,FALSE)</f>
        <v>오성민</v>
      </c>
      <c r="E55" s="74" t="str">
        <f>VLOOKUP(B55,'서비스 Master'!$C$4:$P$62,11,FALSE)</f>
        <v>백새롬 외 2명</v>
      </c>
      <c r="F55" s="72" t="s">
        <v>1128</v>
      </c>
      <c r="G55" s="74"/>
      <c r="H55" s="80"/>
      <c r="I55" s="203"/>
      <c r="J55" s="196"/>
      <c r="K55" s="196"/>
      <c r="L55" s="207"/>
    </row>
    <row r="56" spans="1:12">
      <c r="A56" s="237"/>
      <c r="B56" s="74" t="s">
        <v>375</v>
      </c>
      <c r="C56" s="72" t="str">
        <f>VLOOKUP(B56,'서비스 Master'!$C$4:$P$62,14,FALSE)</f>
        <v>명진</v>
      </c>
      <c r="D56" s="74" t="str">
        <f>VLOOKUP(B56,'서비스 Master'!$C$4:$P$62,10,FALSE)</f>
        <v>오성민</v>
      </c>
      <c r="E56" s="74" t="str">
        <f>VLOOKUP(B56,'서비스 Master'!$C$4:$P$62,11,FALSE)</f>
        <v>안용주 외 2명</v>
      </c>
      <c r="F56" s="72" t="s">
        <v>1133</v>
      </c>
      <c r="G56" s="74"/>
      <c r="H56" s="80"/>
      <c r="I56" s="203"/>
      <c r="J56" s="196"/>
      <c r="K56" s="196"/>
      <c r="L56" s="207"/>
    </row>
    <row r="57" spans="1:12">
      <c r="A57" s="72" t="s">
        <v>378</v>
      </c>
      <c r="B57" s="74" t="s">
        <v>378</v>
      </c>
      <c r="C57" s="72" t="str">
        <f>VLOOKUP(B57,'서비스 Master'!$C$4:$P$62,14,FALSE)</f>
        <v>김햇빛</v>
      </c>
      <c r="D57" s="74" t="str">
        <f>VLOOKUP(B57,'서비스 Master'!$C$4:$P$62,10,FALSE)</f>
        <v>홍원기</v>
      </c>
      <c r="E57" s="74" t="str">
        <f>VLOOKUP(B57,'서비스 Master'!$C$4:$P$62,11,FALSE)</f>
        <v>she</v>
      </c>
      <c r="F57" s="72" t="s">
        <v>1133</v>
      </c>
      <c r="G57" s="74"/>
      <c r="H57" s="80"/>
      <c r="I57" s="203"/>
      <c r="J57" s="201"/>
      <c r="K57" s="196"/>
      <c r="L57" s="207"/>
    </row>
    <row r="58" spans="1:12">
      <c r="A58" s="237" t="s">
        <v>387</v>
      </c>
      <c r="B58" s="74" t="s">
        <v>1317</v>
      </c>
      <c r="C58" s="72" t="str">
        <f>VLOOKUP(B58,'서비스 Master'!$C$4:$P$62,14,FALSE)</f>
        <v>김햇빛</v>
      </c>
      <c r="D58" s="74" t="str">
        <f>VLOOKUP(B58,'서비스 Master'!$C$4:$P$62,10,FALSE)</f>
        <v>이보람</v>
      </c>
      <c r="E58" s="74" t="str">
        <f>VLOOKUP(B58,'서비스 Master'!$C$4:$P$62,11,FALSE)</f>
        <v>김영선/고현종</v>
      </c>
      <c r="F58" s="72" t="s">
        <v>1128</v>
      </c>
      <c r="G58" s="74" t="s">
        <v>1318</v>
      </c>
      <c r="H58" s="80" t="s">
        <v>1157</v>
      </c>
      <c r="I58" s="203" t="s">
        <v>1319</v>
      </c>
      <c r="J58" s="202" t="s">
        <v>1320</v>
      </c>
      <c r="K58" s="129" t="s">
        <v>1321</v>
      </c>
      <c r="L58" s="207"/>
    </row>
    <row r="59" spans="1:12">
      <c r="A59" s="237"/>
      <c r="B59" s="74" t="s">
        <v>1111</v>
      </c>
      <c r="C59" s="72" t="str">
        <f>VLOOKUP(B59,'서비스 Master'!$C$4:$P$62,14,FALSE)</f>
        <v>김햇빛</v>
      </c>
      <c r="D59" s="74" t="str">
        <f>VLOOKUP(B59,'서비스 Master'!$C$4:$P$62,10,FALSE)</f>
        <v>이보람</v>
      </c>
      <c r="E59" s="74" t="str">
        <f>VLOOKUP(B59,'서비스 Master'!$C$4:$P$62,11,FALSE)</f>
        <v>김영선/고현종</v>
      </c>
      <c r="F59" s="72" t="s">
        <v>1128</v>
      </c>
      <c r="G59" s="74" t="s">
        <v>1318</v>
      </c>
      <c r="H59" s="80" t="s">
        <v>1157</v>
      </c>
      <c r="I59" s="203" t="s">
        <v>1319</v>
      </c>
      <c r="J59" s="130" t="s">
        <v>1320</v>
      </c>
      <c r="K59" s="129" t="s">
        <v>1321</v>
      </c>
      <c r="L59" s="207"/>
    </row>
    <row r="60" spans="1:12">
      <c r="A60" s="237"/>
      <c r="B60" s="74" t="s">
        <v>403</v>
      </c>
      <c r="C60" s="72" t="str">
        <f>VLOOKUP(B60,'서비스 Master'!$C$4:$P$62,14,FALSE)</f>
        <v>김햇빛</v>
      </c>
      <c r="D60" s="74" t="str">
        <f>VLOOKUP(B60,'서비스 Master'!$C$4:$P$62,10,FALSE)</f>
        <v>이보람</v>
      </c>
      <c r="E60" s="74" t="str">
        <f>VLOOKUP(B60,'서비스 Master'!$C$4:$P$62,11,FALSE)</f>
        <v>김영선/고현종</v>
      </c>
      <c r="F60" s="72" t="s">
        <v>1128</v>
      </c>
      <c r="G60" s="74" t="s">
        <v>1318</v>
      </c>
      <c r="H60" s="80" t="s">
        <v>1157</v>
      </c>
      <c r="I60" s="203" t="s">
        <v>1319</v>
      </c>
      <c r="J60" s="130" t="s">
        <v>1320</v>
      </c>
      <c r="K60" s="129" t="s">
        <v>1321</v>
      </c>
      <c r="L60" s="207"/>
    </row>
    <row r="61" spans="1:12" ht="13.5" customHeight="1">
      <c r="J61" s="139"/>
    </row>
    <row r="62" spans="1:12" ht="13.5" customHeight="1">
      <c r="J62" s="139"/>
    </row>
    <row r="63" spans="1:12" ht="13.5" customHeight="1">
      <c r="J63" s="139"/>
    </row>
    <row r="64" spans="1:12" ht="13.5" customHeight="1">
      <c r="J64" s="139"/>
    </row>
  </sheetData>
  <autoFilter ref="A2:L60" xr:uid="{00A37B06-A91B-40AE-A0CD-AEDE20C078D4}"/>
  <mergeCells count="11">
    <mergeCell ref="A44:A45"/>
    <mergeCell ref="A3:A14"/>
    <mergeCell ref="A15:A16"/>
    <mergeCell ref="A17:A30"/>
    <mergeCell ref="A31:A37"/>
    <mergeCell ref="A38:A43"/>
    <mergeCell ref="A54:A56"/>
    <mergeCell ref="A58:A60"/>
    <mergeCell ref="A46:A47"/>
    <mergeCell ref="A48:A50"/>
    <mergeCell ref="A51:A53"/>
  </mergeCells>
  <phoneticPr fontId="1" type="noConversion"/>
  <hyperlinks>
    <hyperlink ref="J58" r:id="rId1" xr:uid="{A01C3522-85C9-439B-8F66-6825C81B1DA2}"/>
    <hyperlink ref="K37" r:id="rId2" xr:uid="{37365DCC-3B1E-4954-AA8A-3D9F4EE07C7F}"/>
    <hyperlink ref="K40" r:id="rId3" xr:uid="{C884E829-AFF4-4088-8096-A7F85E7A2C36}"/>
    <hyperlink ref="J10" r:id="rId4" xr:uid="{1B788125-90DB-49B2-B3CC-CFC62344BA29}"/>
    <hyperlink ref="K15" r:id="rId5" xr:uid="{05170A72-1395-4514-9921-CA8370D14432}"/>
    <hyperlink ref="K51" r:id="rId6" xr:uid="{64205330-02E5-452B-95E6-9B9CEA4C8B85}"/>
    <hyperlink ref="K13" r:id="rId7" xr:uid="{35130EC8-E52F-4E72-91E3-DCFA60971449}"/>
    <hyperlink ref="K38" r:id="rId8" xr:uid="{4F14894C-577D-4334-A6BF-A71F76D8044C}"/>
    <hyperlink ref="K16" r:id="rId9" xr:uid="{666C458A-B7B2-4814-B88A-57824DADA049}"/>
    <hyperlink ref="K32" r:id="rId10" xr:uid="{A425D353-8128-4F80-9336-964B2CC1372B}"/>
    <hyperlink ref="K14" r:id="rId11" xr:uid="{D6844A70-5516-4FAB-8A88-1D9557FB0B2B}"/>
    <hyperlink ref="J11" r:id="rId12" xr:uid="{FD9A7973-36B9-406A-93D0-FDF390232925}"/>
  </hyperlinks>
  <pageMargins left="0.7" right="0.7" top="0.75" bottom="0.75" header="0.3" footer="0.3"/>
  <pageSetup paperSize="9"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844AF-6769-4517-B81C-D9F17A38DFE9}">
  <dimension ref="A2:J104"/>
  <sheetViews>
    <sheetView workbookViewId="0">
      <selection activeCell="F32" sqref="F32"/>
    </sheetView>
  </sheetViews>
  <sheetFormatPr defaultRowHeight="13.5"/>
  <cols>
    <col min="1" max="2" width="9" style="10"/>
    <col min="3" max="3" width="20" style="10" customWidth="1"/>
    <col min="4" max="4" width="23.125" style="10" customWidth="1"/>
    <col min="5" max="5" width="9" style="10"/>
    <col min="6" max="6" width="16.625" style="10" customWidth="1"/>
    <col min="7" max="16384" width="9" style="10"/>
  </cols>
  <sheetData>
    <row r="2" spans="1:10">
      <c r="A2" s="10" t="s">
        <v>1322</v>
      </c>
      <c r="B2" s="10" t="str">
        <f>_xlfn.TEXTJOIN("; ", TRUE, B11:B73)</f>
        <v>wonhyuckyu@partner.sk.com; moonseok.c@partner.sk.com; myungki.89@partner.sk.com; psslumber@partner.sk.com; crush0sun.11@partner.sk.com; kmkyung.26@partner.sk.com; abonno.55@partner.sk.com; dhpark0716@partner.sk.com; crush0sun.11@partner.sk.com; hlkim12@partner.sk.com; skchem.i00015@partner.sk.com; wy273.53@partner.sk.com; mj.kim.91@partner.sk.com; zionex5@partner.sk.com; ljy7445@partner.sk.com; bongjin_choi.49@partner.sk.com; skchem.i00015@partner.sk.com; crush0sun.11@partner.sk.com; psslumber@partner.sk.com; v8pjh.29@partner.sk.com; kysno3@partner.sk.com; bemyace@partner.sk.com; mjh@tobeway.com; ttttuo@myatman.com; mirazzan1004@naver.com; rladkgus75@vertexid.com; summer@dongapm.com; jh.han@nextnow.kr; ryur0205@ntsoft.kr; eskim@idenwise.com; webjung@businesson.co.kr; icm@itcen.com ; sykim1@itcen.com; yjhwang@itcen.com; wooseon@patuah.com; jung1066@woonamsoft.com; k7203@ec-bank.net; yiga80@ec-bank.net; eunjung.woo@chemtopia.net; leedh@anyfive.com; hms8117@duegosystem.com; seulgi.choi@wisetechglobal.com</v>
      </c>
    </row>
    <row r="3" spans="1:10" s="85" customFormat="1">
      <c r="A3" s="85" t="s">
        <v>1323</v>
      </c>
      <c r="B3" s="86" t="s">
        <v>1324</v>
      </c>
    </row>
    <row r="4" spans="1:10">
      <c r="A4" s="10" t="s">
        <v>1325</v>
      </c>
      <c r="B4" s="10" t="str">
        <f>_xlfn.TEXTJOIN("; ", TRUE, D11:D48)</f>
        <v>wonhyuckyu@partner.sk.com; moonseok.c@partner.sk.com; myungki.89@partner.sk.com; psslumber@partner.sk.com; crush0sun.11@partner.sk.com; kmkyung.26@partner.sk.com; abonno.55@partner.sk.com; dhpark0716@partner.sk.com; crush0sun.11@partner.sk.com; hlkim12@partner.sk.com; skchem.i00015@partner.sk.com; wy273.53@partner.sk.com; mj.kim.91@partner.sk.com; zionex5@partner.sk.com; ljy7445@partner.sk.com; bongjin_choi.49@partner.sk.com; skchem.i00015@partner.sk.com; crush0sun.11@partner.sk.com; psslumber@partner.sk.com; v8pjh.29@partner.sk.com; kysno3@partner.sk.com; bemyace@partner.sk.com</v>
      </c>
    </row>
    <row r="5" spans="1:10" s="85" customFormat="1" ht="16.5">
      <c r="A5" s="85" t="s">
        <v>1326</v>
      </c>
      <c r="B5" s="87" t="s">
        <v>1327</v>
      </c>
    </row>
    <row r="6" spans="1:10">
      <c r="A6" s="10" t="s">
        <v>1328</v>
      </c>
      <c r="B6" s="10" t="str">
        <f>_xlfn.TEXTJOIN("; ", TRUE, F11:F26)</f>
        <v>mjh@tobeway.com; ttttuo@myatman.com; mirazzan1004@naver.com; rladkgus75@vertexid.com; summer@dongapm.com; jh.han@nextnow.kr; ryur0205@ntsoft.kr; eskim@idenwise.com; webjung@businesson.co.kr; icm@itcen.com ; sykim1@itcen.com; yjhwang@itcen.com; wooseon@patuah.com; jung1066@woonamsoft.com; k7203@ec-bank.net; yiga80@ec-bank.net; eunjung.woo@chemtopia.net; leedh@anyfive.com; hms8117@duegosystem.com</v>
      </c>
    </row>
    <row r="7" spans="1:10" s="85" customFormat="1" ht="16.5">
      <c r="A7" s="85" t="s">
        <v>1329</v>
      </c>
      <c r="B7" s="87" t="s">
        <v>1330</v>
      </c>
    </row>
    <row r="10" spans="1:10">
      <c r="B10" s="10" t="s">
        <v>1322</v>
      </c>
      <c r="D10" s="10" t="s">
        <v>1331</v>
      </c>
      <c r="F10" s="10" t="s">
        <v>1328</v>
      </c>
    </row>
    <row r="11" spans="1:10">
      <c r="B11" s="10" t="s">
        <v>1132</v>
      </c>
      <c r="D11" s="10" t="s">
        <v>1132</v>
      </c>
      <c r="F11" s="10" t="s">
        <v>1138</v>
      </c>
      <c r="J11" s="73"/>
    </row>
    <row r="12" spans="1:10">
      <c r="B12" s="10" t="s">
        <v>1143</v>
      </c>
      <c r="D12" s="10" t="s">
        <v>1143</v>
      </c>
      <c r="F12" s="10" t="s">
        <v>1149</v>
      </c>
      <c r="J12" s="73"/>
    </row>
    <row r="13" spans="1:10" ht="16.5">
      <c r="B13" s="10" t="s">
        <v>1159</v>
      </c>
      <c r="D13" s="10" t="s">
        <v>1159</v>
      </c>
      <c r="F13" s="88" t="s">
        <v>1155</v>
      </c>
      <c r="J13" s="73"/>
    </row>
    <row r="14" spans="1:10">
      <c r="B14" s="10" t="s">
        <v>1164</v>
      </c>
      <c r="D14" s="10" t="s">
        <v>1164</v>
      </c>
      <c r="F14" s="10" t="s">
        <v>1176</v>
      </c>
      <c r="J14" s="73"/>
    </row>
    <row r="15" spans="1:10">
      <c r="B15" s="10" t="s">
        <v>1168</v>
      </c>
      <c r="D15" s="10" t="s">
        <v>1168</v>
      </c>
      <c r="F15" s="10" t="s">
        <v>1182</v>
      </c>
      <c r="J15" s="73"/>
    </row>
    <row r="16" spans="1:10">
      <c r="B16" s="10" t="s">
        <v>1199</v>
      </c>
      <c r="D16" s="10" t="s">
        <v>1199</v>
      </c>
      <c r="F16" s="10" t="s">
        <v>1188</v>
      </c>
      <c r="J16" s="73"/>
    </row>
    <row r="17" spans="2:10">
      <c r="B17" s="10" t="s">
        <v>1204</v>
      </c>
      <c r="D17" s="10" t="s">
        <v>1204</v>
      </c>
      <c r="F17" s="10" t="s">
        <v>1194</v>
      </c>
      <c r="J17" s="73"/>
    </row>
    <row r="18" spans="2:10">
      <c r="B18" s="10" t="s">
        <v>1210</v>
      </c>
      <c r="D18" s="10" t="s">
        <v>1210</v>
      </c>
      <c r="F18" s="10" t="s">
        <v>1222</v>
      </c>
      <c r="J18" s="73"/>
    </row>
    <row r="19" spans="2:10">
      <c r="B19" s="10" t="s">
        <v>1215</v>
      </c>
      <c r="D19" s="10" t="s">
        <v>1215</v>
      </c>
      <c r="F19" s="10" t="s">
        <v>1234</v>
      </c>
      <c r="J19" s="73"/>
    </row>
    <row r="20" spans="2:10">
      <c r="B20" s="10" t="s">
        <v>1228</v>
      </c>
      <c r="D20" s="10" t="s">
        <v>1228</v>
      </c>
      <c r="F20" s="10" t="s">
        <v>1239</v>
      </c>
      <c r="J20" s="73"/>
    </row>
    <row r="21" spans="2:10">
      <c r="B21" s="10" t="s">
        <v>1244</v>
      </c>
      <c r="D21" s="10" t="s">
        <v>1244</v>
      </c>
      <c r="F21" s="10" t="s">
        <v>1248</v>
      </c>
      <c r="J21" s="73"/>
    </row>
    <row r="22" spans="2:10" ht="16.5">
      <c r="B22" t="s">
        <v>1284</v>
      </c>
      <c r="D22" t="s">
        <v>1284</v>
      </c>
      <c r="F22" s="10" t="s">
        <v>1255</v>
      </c>
      <c r="J22" s="73"/>
    </row>
    <row r="23" spans="2:10" ht="16.5">
      <c r="B23" t="s">
        <v>1289</v>
      </c>
      <c r="D23" t="s">
        <v>1289</v>
      </c>
      <c r="F23" s="10" t="s">
        <v>1261</v>
      </c>
      <c r="J23" s="73"/>
    </row>
    <row r="24" spans="2:10" ht="16.5">
      <c r="B24" t="s">
        <v>1294</v>
      </c>
      <c r="D24" t="s">
        <v>1294</v>
      </c>
      <c r="F24" s="10" t="s">
        <v>1267</v>
      </c>
      <c r="J24" s="74"/>
    </row>
    <row r="25" spans="2:10" ht="16.5">
      <c r="B25" t="s">
        <v>1299</v>
      </c>
      <c r="D25" t="s">
        <v>1299</v>
      </c>
      <c r="F25" s="15" t="s">
        <v>1273</v>
      </c>
      <c r="J25" s="73"/>
    </row>
    <row r="26" spans="2:10" ht="16.5">
      <c r="B26" t="s">
        <v>1310</v>
      </c>
      <c r="D26" t="s">
        <v>1310</v>
      </c>
      <c r="F26" s="10" t="s">
        <v>1279</v>
      </c>
      <c r="J26" s="73"/>
    </row>
    <row r="27" spans="2:10" ht="16.5">
      <c r="B27" t="s">
        <v>1315</v>
      </c>
      <c r="D27" t="s">
        <v>1315</v>
      </c>
      <c r="F27" s="10" t="s">
        <v>1306</v>
      </c>
      <c r="J27" s="73"/>
    </row>
    <row r="28" spans="2:10" ht="16.5">
      <c r="B28" t="s">
        <v>1320</v>
      </c>
      <c r="D28" t="s">
        <v>1320</v>
      </c>
    </row>
    <row r="29" spans="2:10">
      <c r="B29" s="10" t="s">
        <v>1138</v>
      </c>
    </row>
    <row r="30" spans="2:10" ht="16.5">
      <c r="B30" s="10" t="s">
        <v>1149</v>
      </c>
      <c r="D30"/>
    </row>
    <row r="31" spans="2:10" ht="16.5">
      <c r="B31" s="88" t="s">
        <v>1155</v>
      </c>
      <c r="D31"/>
    </row>
    <row r="32" spans="2:10" ht="16.5">
      <c r="B32" s="10" t="s">
        <v>1176</v>
      </c>
      <c r="D32"/>
    </row>
    <row r="33" spans="2:6" ht="16.5">
      <c r="B33" s="10" t="s">
        <v>1182</v>
      </c>
      <c r="D33"/>
    </row>
    <row r="34" spans="2:6" ht="16.5">
      <c r="B34" s="10" t="s">
        <v>1188</v>
      </c>
      <c r="D34"/>
    </row>
    <row r="35" spans="2:6" ht="16.5">
      <c r="B35" s="10" t="s">
        <v>1194</v>
      </c>
      <c r="D35"/>
    </row>
    <row r="36" spans="2:6" ht="16.5">
      <c r="B36" s="10" t="s">
        <v>1222</v>
      </c>
      <c r="D36"/>
    </row>
    <row r="37" spans="2:6" ht="16.5">
      <c r="B37" s="10" t="s">
        <v>1234</v>
      </c>
      <c r="D37"/>
    </row>
    <row r="38" spans="2:6" ht="16.5">
      <c r="B38" s="10" t="s">
        <v>1239</v>
      </c>
      <c r="D38"/>
    </row>
    <row r="39" spans="2:6" ht="16.5">
      <c r="B39" s="10" t="s">
        <v>1248</v>
      </c>
      <c r="D39"/>
    </row>
    <row r="40" spans="2:6" ht="16.5">
      <c r="B40" s="10" t="s">
        <v>1255</v>
      </c>
      <c r="D40"/>
    </row>
    <row r="41" spans="2:6" ht="16.5">
      <c r="B41" s="10" t="s">
        <v>1261</v>
      </c>
      <c r="D41"/>
    </row>
    <row r="42" spans="2:6" ht="16.5">
      <c r="B42" s="10" t="s">
        <v>1267</v>
      </c>
      <c r="D42"/>
    </row>
    <row r="43" spans="2:6">
      <c r="B43" s="15" t="s">
        <v>1273</v>
      </c>
    </row>
    <row r="44" spans="2:6">
      <c r="B44" s="10" t="s">
        <v>1279</v>
      </c>
    </row>
    <row r="45" spans="2:6">
      <c r="B45" s="10" t="s">
        <v>1306</v>
      </c>
    </row>
    <row r="46" spans="2:6" ht="16.5">
      <c r="F46"/>
    </row>
    <row r="47" spans="2:6" ht="16.5">
      <c r="B47"/>
      <c r="F47"/>
    </row>
    <row r="48" spans="2:6" ht="16.5">
      <c r="B48"/>
      <c r="F48"/>
    </row>
    <row r="49" spans="2:6" ht="16.5">
      <c r="B49"/>
      <c r="F49"/>
    </row>
    <row r="50" spans="2:6" ht="16.5">
      <c r="B50"/>
      <c r="F50"/>
    </row>
    <row r="51" spans="2:6" ht="16.5">
      <c r="B51"/>
      <c r="F51"/>
    </row>
    <row r="52" spans="2:6" ht="16.5">
      <c r="B52"/>
      <c r="F52"/>
    </row>
    <row r="53" spans="2:6" ht="16.5">
      <c r="B53"/>
      <c r="F53"/>
    </row>
    <row r="54" spans="2:6" ht="16.5">
      <c r="B54"/>
      <c r="F54"/>
    </row>
    <row r="55" spans="2:6" ht="16.5">
      <c r="B55"/>
      <c r="F55"/>
    </row>
    <row r="56" spans="2:6" ht="16.5">
      <c r="B56"/>
      <c r="F56"/>
    </row>
    <row r="57" spans="2:6" ht="16.5">
      <c r="B57"/>
      <c r="F57"/>
    </row>
    <row r="58" spans="2:6" ht="16.5">
      <c r="B58"/>
      <c r="F58"/>
    </row>
    <row r="59" spans="2:6" ht="16.5">
      <c r="B59"/>
      <c r="F59"/>
    </row>
    <row r="60" spans="2:6" ht="16.5">
      <c r="B60"/>
      <c r="F60"/>
    </row>
    <row r="61" spans="2:6" ht="16.5">
      <c r="B61"/>
      <c r="F61"/>
    </row>
    <row r="62" spans="2:6" ht="16.5">
      <c r="B62"/>
      <c r="F62"/>
    </row>
    <row r="63" spans="2:6" ht="16.5">
      <c r="B63"/>
      <c r="F63"/>
    </row>
    <row r="64" spans="2:6" ht="16.5">
      <c r="B64"/>
      <c r="F64"/>
    </row>
    <row r="65" spans="2:6" ht="16.5">
      <c r="F65"/>
    </row>
    <row r="66" spans="2:6" ht="16.5">
      <c r="F66"/>
    </row>
    <row r="67" spans="2:6" ht="16.5">
      <c r="F67"/>
    </row>
    <row r="68" spans="2:6" ht="16.5">
      <c r="F68"/>
    </row>
    <row r="72" spans="2:6">
      <c r="B72" s="15"/>
    </row>
    <row r="76" spans="2:6" ht="16.5">
      <c r="B76"/>
    </row>
    <row r="77" spans="2:6" ht="16.5">
      <c r="B77"/>
    </row>
    <row r="78" spans="2:6" ht="16.5">
      <c r="B78"/>
    </row>
    <row r="79" spans="2:6" ht="16.5">
      <c r="B79"/>
    </row>
    <row r="80" spans="2:6" ht="16.5">
      <c r="B80"/>
    </row>
    <row r="81" spans="2:2" ht="16.5">
      <c r="B81"/>
    </row>
    <row r="82" spans="2:2" ht="16.5">
      <c r="B82"/>
    </row>
    <row r="83" spans="2:2" ht="16.5">
      <c r="B83"/>
    </row>
    <row r="84" spans="2:2" ht="16.5">
      <c r="B84"/>
    </row>
    <row r="85" spans="2:2" ht="16.5">
      <c r="B85"/>
    </row>
    <row r="86" spans="2:2" ht="16.5">
      <c r="B86"/>
    </row>
    <row r="87" spans="2:2" ht="16.5">
      <c r="B87"/>
    </row>
    <row r="88" spans="2:2" ht="16.5">
      <c r="B88"/>
    </row>
    <row r="89" spans="2:2" ht="16.5">
      <c r="B89"/>
    </row>
    <row r="90" spans="2:2" ht="16.5">
      <c r="B90"/>
    </row>
    <row r="91" spans="2:2" ht="16.5">
      <c r="B91"/>
    </row>
    <row r="92" spans="2:2" ht="16.5">
      <c r="B92"/>
    </row>
    <row r="93" spans="2:2" ht="16.5">
      <c r="B93"/>
    </row>
    <row r="94" spans="2:2" ht="16.5">
      <c r="B94"/>
    </row>
    <row r="95" spans="2:2" ht="16.5">
      <c r="B95"/>
    </row>
    <row r="96" spans="2:2" ht="16.5">
      <c r="B96"/>
    </row>
    <row r="97" spans="2:2" ht="16.5">
      <c r="B97"/>
    </row>
    <row r="98" spans="2:2" ht="16.5">
      <c r="B98"/>
    </row>
    <row r="99" spans="2:2" ht="16.5">
      <c r="B99"/>
    </row>
    <row r="100" spans="2:2" ht="16.5">
      <c r="B100"/>
    </row>
    <row r="101" spans="2:2" ht="16.5">
      <c r="B101"/>
    </row>
    <row r="102" spans="2:2" ht="16.5">
      <c r="B102"/>
    </row>
    <row r="103" spans="2:2" ht="16.5">
      <c r="B103"/>
    </row>
    <row r="104" spans="2:2" ht="16.5">
      <c r="B104"/>
    </row>
  </sheetData>
  <phoneticPr fontId="1" type="noConversion"/>
  <hyperlinks>
    <hyperlink ref="B3" r:id="rId1" display="wonhyuckyu@partner.sk.com; alswnsghd1234@partner.sk.com; moonseok.c@partner.sk.com; myungki.89@partner.sk.com; ttttuo@partner.sk.com; mirazzan@partner.sk.com; psslumber@partner.sk.com; crush0sun.11@partner.sk.com; kmkyung.26@partner.sk.com; abonno.55@partner.sk.com; ieunp974.75@partner.sk.com; Woosjk12@partner.sk.com; bs.kim.92@partner.sk.com; ryur0205@partner.sk.com; gas4@partner.sk.com; dhpark0716@partner.sk.com; crush0sun.11@partner.sk.com; hlkim12@partner.sk.com; skchem.i00015@partner.sk.com; v8pjh.29@partner.sk.com; eskim@partner.sk.com; wy273.53@partner.sk.com; sb-webjung0868.07@partner.sk.com; mj.kim.91@partner.sk.com; lsmmoon@partner.sk.com; hykim_ict@partner.sk.com; zionex5@partner.sk.com; ljy7445@partner.sk.com; jisoo_kim@partner.sk.com; skchem.i00015@partner.sk.com; crush0sun.11@partner.sk.com; seulgi.choi.93@partner.sk.com; psslumber@partner.sk.com; kysno3@partner.sk.com; bemyace@partner.sk.com; alswnsghd1234@naver.com; myungki@hotmail.com; ttttuo@myatman.com; mirazzan1004@naver.com; psslumber@gmail.com; crush0sun@naver.com; kyumin.kyung@data-dynamics.io; abonno@naver.com; jieunp974@vertexid.com; Woosjk12@dongapm.com; bs.kim@nextnow.kr; ryur0205@ntsoft.kr; dhpark@rialab.co.kr; crush0sun@naver.com; hlkim7766@gmail.com ; ma8665@hanmail.net; v8pjh@naver.com; eskim@idenwise.com; wy273@naver.com; webjung@businesson.co.kr; sykim1@itcen.com; yjhwang@itcen.com; minjun0620@gmail.com; spotlight88@patuah.com; lsmmoon@woonamsoft.com; yiga80@ec-bank.net; eunjung.woo@chemtopia.net; hykim@anyfive.com; finejkh@duegosystem.com; minah_yoo@zionex.com; grandline1@naver.com; jisoo_kim@zionex.com; ma8665@hanmail.net; crush0sun@naver.com; seulgi.choi@wisetechglobal.com; psslumber@gmail.com; kysno3@naver.com; bemyace@naver.com" xr:uid="{84130447-FBDC-46CE-85BC-91E38842CE4B}"/>
    <hyperlink ref="B7" r:id="rId2" display="alswnsghd1234@naver.com; ttttuo@myatman.com; mirazzan1004@naver.com; jieunp974@vertexid.com; summer@dongapm.com; bs.kim@nextnow.kr; ryur0205@ntsoft.kr; eskim@idenwise.com; webjung@businesson.co.kr; sykim1@itcen.com; yjhwang@itcen.com; spotlight88@patuah.com; lsmmoon@woonamsoft.com; yiga80@ec-bank.net; eunjung.woo@chemtopia.net; hykim@anyfive.com; hms8117@duegosystem.com" xr:uid="{2D0A43BD-0B41-4BFE-9146-8868BEBD779C}"/>
    <hyperlink ref="B5" r:id="rId3" display="wonhyuckyu@partner.sk.com; moonseok.c@partner.sk.com; myungki.89@partner.sk.com; psslumber@partner.sk.com; crush0sun.11@partner.sk.com; kmkyung.26@partner.sk.com; abonno.55@partner.sk.com; crush0sun.11@partner.sk.com; hlkim12@partner.sk.com; skchem.i00015@partner.sk.com; v8pjh.29@partner.sk.com; wy273.53@partner.sk.com; mj.kim.91@partner.sk.com; zionex5@partner.sk.com; ljy7445@partner.sk.com; jisoo_kim@partner.sk.com; skchem.i00015@partner.sk.com; crush0sun.11@partner.sk.com; psslumber@partner.sk.com; kysno3@partner.sk.com; bemyace@partner.sk.com; ttttuo@myatman.com" xr:uid="{0BCD0D77-4040-4882-A751-1EB70C314CBE}"/>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4E30-1075-4EAA-AB8F-4C4AC292A8EB}">
  <dimension ref="A1:G8"/>
  <sheetViews>
    <sheetView topLeftCell="D1" workbookViewId="0">
      <selection activeCell="E2" sqref="E2"/>
    </sheetView>
  </sheetViews>
  <sheetFormatPr defaultRowHeight="16.5"/>
  <cols>
    <col min="2" max="2" width="11.75" bestFit="1" customWidth="1"/>
    <col min="3" max="3" width="11.875" bestFit="1" customWidth="1"/>
    <col min="5" max="5" width="74" customWidth="1"/>
    <col min="7" max="7" width="14.875" customWidth="1"/>
  </cols>
  <sheetData>
    <row r="1" spans="1:7">
      <c r="A1" s="55" t="s">
        <v>417</v>
      </c>
      <c r="B1" s="55" t="s">
        <v>418</v>
      </c>
      <c r="C1" s="55" t="s">
        <v>419</v>
      </c>
      <c r="D1" s="182" t="s">
        <v>420</v>
      </c>
      <c r="E1" s="126" t="s">
        <v>1332</v>
      </c>
      <c r="F1" t="s">
        <v>1333</v>
      </c>
      <c r="G1" t="s">
        <v>1334</v>
      </c>
    </row>
    <row r="2" spans="1:7">
      <c r="A2" t="s">
        <v>485</v>
      </c>
      <c r="B2" t="s">
        <v>661</v>
      </c>
      <c r="C2" t="s">
        <v>458</v>
      </c>
      <c r="D2" t="s">
        <v>421</v>
      </c>
      <c r="E2" s="128" t="s">
        <v>1335</v>
      </c>
      <c r="F2" t="s">
        <v>1336</v>
      </c>
      <c r="G2" t="s">
        <v>1337</v>
      </c>
    </row>
    <row r="3" spans="1:7">
      <c r="A3" t="s">
        <v>515</v>
      </c>
      <c r="B3" t="s">
        <v>95</v>
      </c>
      <c r="C3" t="s">
        <v>442</v>
      </c>
      <c r="D3" t="s">
        <v>662</v>
      </c>
      <c r="E3" s="128" t="s">
        <v>1338</v>
      </c>
      <c r="F3" t="s">
        <v>1339</v>
      </c>
      <c r="G3" t="s">
        <v>1340</v>
      </c>
    </row>
    <row r="4" spans="1:7">
      <c r="A4" t="s">
        <v>987</v>
      </c>
      <c r="D4" t="s">
        <v>479</v>
      </c>
      <c r="E4" s="128" t="s">
        <v>1341</v>
      </c>
      <c r="F4" t="s">
        <v>1342</v>
      </c>
      <c r="G4" t="s">
        <v>1343</v>
      </c>
    </row>
    <row r="5" spans="1:7">
      <c r="D5" t="s">
        <v>493</v>
      </c>
      <c r="E5" s="128" t="s">
        <v>1344</v>
      </c>
      <c r="F5" t="s">
        <v>152</v>
      </c>
    </row>
    <row r="6" spans="1:7">
      <c r="E6" s="183" t="s">
        <v>1345</v>
      </c>
    </row>
    <row r="7" spans="1:7">
      <c r="E7" s="128" t="s">
        <v>1346</v>
      </c>
    </row>
    <row r="8" spans="1:7">
      <c r="E8" s="128" t="s">
        <v>1347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5568-215D-4E1D-903D-928266356F1A}">
  <sheetPr>
    <tabColor rgb="FF00B0F0"/>
  </sheetPr>
  <dimension ref="A1:J65"/>
  <sheetViews>
    <sheetView topLeftCell="A17" workbookViewId="0">
      <selection activeCell="G33" sqref="G33"/>
    </sheetView>
  </sheetViews>
  <sheetFormatPr defaultRowHeight="13.5"/>
  <cols>
    <col min="1" max="1" width="7.25" style="15" customWidth="1"/>
    <col min="2" max="2" width="13.25" style="15" bestFit="1" customWidth="1"/>
    <col min="3" max="3" width="21.875" style="15" customWidth="1"/>
    <col min="4" max="4" width="9.625" style="231" customWidth="1"/>
    <col min="5" max="5" width="12.125" style="231" bestFit="1" customWidth="1"/>
    <col min="6" max="7" width="8.25" style="231" customWidth="1"/>
    <col min="8" max="8" width="9.375" style="231" customWidth="1"/>
    <col min="9" max="9" width="25.125" style="231" customWidth="1"/>
    <col min="10" max="10" width="29.5" style="15" customWidth="1"/>
    <col min="11" max="16384" width="9" style="15"/>
  </cols>
  <sheetData>
    <row r="1" spans="1:10" s="231" customFormat="1">
      <c r="A1" s="229" t="s">
        <v>1348</v>
      </c>
      <c r="B1" s="230" t="s">
        <v>1349</v>
      </c>
      <c r="C1" s="230" t="s">
        <v>1350</v>
      </c>
      <c r="D1" s="230" t="s">
        <v>1351</v>
      </c>
      <c r="E1" s="230" t="s">
        <v>1352</v>
      </c>
      <c r="F1" s="230" t="s">
        <v>1353</v>
      </c>
      <c r="G1" s="230" t="s">
        <v>1354</v>
      </c>
      <c r="H1" s="230" t="s">
        <v>1355</v>
      </c>
      <c r="I1" s="230" t="s">
        <v>1356</v>
      </c>
      <c r="J1" s="230" t="s">
        <v>1357</v>
      </c>
    </row>
    <row r="2" spans="1:10">
      <c r="A2" s="232">
        <v>1</v>
      </c>
      <c r="B2" s="233" t="s">
        <v>1358</v>
      </c>
      <c r="C2" s="234" t="s">
        <v>1359</v>
      </c>
      <c r="D2" s="235" t="s">
        <v>1360</v>
      </c>
      <c r="E2" s="235" t="s">
        <v>1133</v>
      </c>
      <c r="F2" s="235" t="s">
        <v>1361</v>
      </c>
      <c r="G2" s="235" t="s">
        <v>1354</v>
      </c>
      <c r="H2" s="235" t="s">
        <v>1361</v>
      </c>
      <c r="I2" s="235" t="s">
        <v>375</v>
      </c>
      <c r="J2" s="234" t="s">
        <v>1362</v>
      </c>
    </row>
    <row r="3" spans="1:10">
      <c r="A3" s="232">
        <v>2</v>
      </c>
      <c r="B3" s="233" t="s">
        <v>1363</v>
      </c>
      <c r="C3" s="234" t="s">
        <v>1135</v>
      </c>
      <c r="D3" s="235" t="s">
        <v>85</v>
      </c>
      <c r="E3" s="235" t="s">
        <v>1133</v>
      </c>
      <c r="F3" s="235" t="s">
        <v>1361</v>
      </c>
      <c r="G3" s="235" t="s">
        <v>1354</v>
      </c>
      <c r="H3" s="235" t="s">
        <v>1361</v>
      </c>
      <c r="I3" s="235" t="str">
        <f>_xlfn.XLOOKUP(D3,비상연락망!E:E,비상연락망!B:B,"",0,1)</f>
        <v>MDM 시스템</v>
      </c>
      <c r="J3" s="234" t="s">
        <v>1364</v>
      </c>
    </row>
    <row r="4" spans="1:10">
      <c r="A4" s="232">
        <v>3</v>
      </c>
      <c r="B4" s="233" t="s">
        <v>1363</v>
      </c>
      <c r="C4" s="234" t="s">
        <v>1265</v>
      </c>
      <c r="D4" s="235" t="s">
        <v>282</v>
      </c>
      <c r="E4" s="235" t="s">
        <v>1133</v>
      </c>
      <c r="F4" s="235" t="s">
        <v>1361</v>
      </c>
      <c r="G4" s="235" t="s">
        <v>1361</v>
      </c>
      <c r="H4" s="235" t="s">
        <v>1355</v>
      </c>
      <c r="I4" s="235" t="str">
        <f>_xlfn.XLOOKUP(D4,비상연락망!E:E,비상연락망!B:B,"",0,1)</f>
        <v>MSDS 서비스</v>
      </c>
      <c r="J4" s="234" t="s">
        <v>1364</v>
      </c>
    </row>
    <row r="5" spans="1:10">
      <c r="A5" s="232">
        <v>4</v>
      </c>
      <c r="B5" s="234" t="s">
        <v>1365</v>
      </c>
      <c r="C5" s="234" t="s">
        <v>1366</v>
      </c>
      <c r="D5" s="235" t="s">
        <v>1367</v>
      </c>
      <c r="E5" s="235" t="s">
        <v>1133</v>
      </c>
      <c r="F5" s="235" t="s">
        <v>1361</v>
      </c>
      <c r="G5" s="235" t="s">
        <v>1354</v>
      </c>
      <c r="H5" s="235" t="s">
        <v>1361</v>
      </c>
      <c r="I5" s="235" t="s">
        <v>375</v>
      </c>
      <c r="J5" s="234" t="s">
        <v>1361</v>
      </c>
    </row>
    <row r="6" spans="1:10">
      <c r="A6" s="232">
        <v>5</v>
      </c>
      <c r="B6" s="234" t="s">
        <v>1365</v>
      </c>
      <c r="C6" s="234" t="s">
        <v>1368</v>
      </c>
      <c r="D6" s="235" t="s">
        <v>1369</v>
      </c>
      <c r="E6" s="235" t="s">
        <v>1128</v>
      </c>
      <c r="F6" s="235" t="s">
        <v>1361</v>
      </c>
      <c r="G6" s="235" t="s">
        <v>1354</v>
      </c>
      <c r="H6" s="235" t="s">
        <v>1361</v>
      </c>
      <c r="I6" s="235" t="s">
        <v>1370</v>
      </c>
      <c r="J6" s="234" t="s">
        <v>1361</v>
      </c>
    </row>
    <row r="7" spans="1:10">
      <c r="A7" s="232">
        <v>6</v>
      </c>
      <c r="B7" s="234" t="s">
        <v>1365</v>
      </c>
      <c r="C7" s="234" t="s">
        <v>1368</v>
      </c>
      <c r="D7" s="235" t="s">
        <v>1371</v>
      </c>
      <c r="E7" s="235" t="s">
        <v>1128</v>
      </c>
      <c r="F7" s="235" t="s">
        <v>1361</v>
      </c>
      <c r="G7" s="235" t="s">
        <v>1354</v>
      </c>
      <c r="H7" s="235" t="s">
        <v>1361</v>
      </c>
      <c r="I7" s="235" t="s">
        <v>1372</v>
      </c>
      <c r="J7" s="234" t="s">
        <v>1361</v>
      </c>
    </row>
    <row r="8" spans="1:10">
      <c r="A8" s="232">
        <v>7</v>
      </c>
      <c r="B8" s="234" t="s">
        <v>1365</v>
      </c>
      <c r="C8" s="234" t="s">
        <v>1368</v>
      </c>
      <c r="D8" s="235" t="s">
        <v>1373</v>
      </c>
      <c r="E8" s="235" t="s">
        <v>1128</v>
      </c>
      <c r="F8" s="235" t="s">
        <v>1361</v>
      </c>
      <c r="G8" s="235" t="s">
        <v>1354</v>
      </c>
      <c r="H8" s="235" t="s">
        <v>1361</v>
      </c>
      <c r="I8" s="235" t="s">
        <v>1374</v>
      </c>
      <c r="J8" s="234" t="s">
        <v>1361</v>
      </c>
    </row>
    <row r="9" spans="1:10">
      <c r="A9" s="232">
        <v>8</v>
      </c>
      <c r="B9" s="234" t="s">
        <v>1365</v>
      </c>
      <c r="C9" s="234" t="s">
        <v>1368</v>
      </c>
      <c r="D9" s="235" t="s">
        <v>1375</v>
      </c>
      <c r="E9" s="235" t="s">
        <v>1128</v>
      </c>
      <c r="F9" s="235" t="s">
        <v>1361</v>
      </c>
      <c r="G9" s="235" t="s">
        <v>1354</v>
      </c>
      <c r="H9" s="235" t="s">
        <v>1361</v>
      </c>
      <c r="I9" s="235" t="s">
        <v>1376</v>
      </c>
      <c r="J9" s="234" t="s">
        <v>1361</v>
      </c>
    </row>
    <row r="10" spans="1:10">
      <c r="A10" s="232">
        <v>9</v>
      </c>
      <c r="B10" s="234" t="s">
        <v>1365</v>
      </c>
      <c r="C10" s="234" t="s">
        <v>1368</v>
      </c>
      <c r="D10" s="235" t="s">
        <v>1377</v>
      </c>
      <c r="E10" s="235" t="s">
        <v>1128</v>
      </c>
      <c r="F10" s="235" t="s">
        <v>1361</v>
      </c>
      <c r="G10" s="235" t="s">
        <v>1354</v>
      </c>
      <c r="H10" s="235" t="s">
        <v>1361</v>
      </c>
      <c r="I10" s="235" t="s">
        <v>1372</v>
      </c>
      <c r="J10" s="234" t="s">
        <v>1361</v>
      </c>
    </row>
    <row r="11" spans="1:10">
      <c r="A11" s="232">
        <v>10</v>
      </c>
      <c r="B11" s="234" t="s">
        <v>1365</v>
      </c>
      <c r="C11" s="234" t="s">
        <v>1368</v>
      </c>
      <c r="D11" s="235" t="s">
        <v>1378</v>
      </c>
      <c r="E11" s="236" t="s">
        <v>1133</v>
      </c>
      <c r="F11" s="235" t="s">
        <v>1361</v>
      </c>
      <c r="G11" s="235" t="s">
        <v>1361</v>
      </c>
      <c r="H11" s="235" t="s">
        <v>1355</v>
      </c>
      <c r="I11" s="235" t="s">
        <v>1376</v>
      </c>
      <c r="J11" s="234" t="s">
        <v>1379</v>
      </c>
    </row>
    <row r="12" spans="1:10">
      <c r="A12" s="232">
        <v>11</v>
      </c>
      <c r="B12" s="234" t="s">
        <v>1365</v>
      </c>
      <c r="C12" s="234" t="s">
        <v>1368</v>
      </c>
      <c r="D12" s="235" t="s">
        <v>1380</v>
      </c>
      <c r="E12" s="235" t="s">
        <v>1128</v>
      </c>
      <c r="F12" s="235" t="s">
        <v>1361</v>
      </c>
      <c r="G12" s="235" t="s">
        <v>1354</v>
      </c>
      <c r="H12" s="235" t="s">
        <v>1361</v>
      </c>
      <c r="I12" s="235" t="s">
        <v>1381</v>
      </c>
      <c r="J12" s="234" t="s">
        <v>1361</v>
      </c>
    </row>
    <row r="13" spans="1:10">
      <c r="A13" s="232">
        <v>12</v>
      </c>
      <c r="B13" s="234" t="s">
        <v>1365</v>
      </c>
      <c r="C13" s="234" t="s">
        <v>1368</v>
      </c>
      <c r="D13" s="235" t="s">
        <v>1382</v>
      </c>
      <c r="E13" s="235" t="s">
        <v>1128</v>
      </c>
      <c r="F13" s="235" t="s">
        <v>1361</v>
      </c>
      <c r="G13" s="235" t="s">
        <v>1361</v>
      </c>
      <c r="H13" s="235" t="s">
        <v>1355</v>
      </c>
      <c r="I13" s="235" t="s">
        <v>1376</v>
      </c>
      <c r="J13" s="234" t="s">
        <v>1361</v>
      </c>
    </row>
    <row r="14" spans="1:10">
      <c r="A14" s="232">
        <v>13</v>
      </c>
      <c r="B14" s="234" t="s">
        <v>1365</v>
      </c>
      <c r="C14" s="234" t="s">
        <v>1368</v>
      </c>
      <c r="D14" s="235" t="s">
        <v>1383</v>
      </c>
      <c r="E14" s="235" t="s">
        <v>1128</v>
      </c>
      <c r="F14" s="235" t="s">
        <v>1361</v>
      </c>
      <c r="G14" s="235"/>
      <c r="H14" s="235" t="s">
        <v>1355</v>
      </c>
      <c r="I14" s="235" t="s">
        <v>1372</v>
      </c>
      <c r="J14" s="234" t="s">
        <v>1361</v>
      </c>
    </row>
    <row r="15" spans="1:10">
      <c r="A15" s="232">
        <v>14</v>
      </c>
      <c r="B15" s="234" t="s">
        <v>1365</v>
      </c>
      <c r="C15" s="234" t="s">
        <v>1368</v>
      </c>
      <c r="D15" s="235" t="s">
        <v>1384</v>
      </c>
      <c r="E15" s="235" t="s">
        <v>1128</v>
      </c>
      <c r="F15" s="235" t="s">
        <v>1361</v>
      </c>
      <c r="G15" s="235" t="s">
        <v>1354</v>
      </c>
      <c r="H15" s="235" t="s">
        <v>1361</v>
      </c>
      <c r="I15" s="235" t="s">
        <v>1376</v>
      </c>
      <c r="J15" s="234" t="s">
        <v>1361</v>
      </c>
    </row>
    <row r="16" spans="1:10">
      <c r="A16" s="232">
        <v>15</v>
      </c>
      <c r="B16" s="234" t="s">
        <v>1365</v>
      </c>
      <c r="C16" s="234" t="s">
        <v>1368</v>
      </c>
      <c r="D16" s="235" t="s">
        <v>1385</v>
      </c>
      <c r="E16" s="235" t="s">
        <v>1128</v>
      </c>
      <c r="F16" s="235" t="s">
        <v>1361</v>
      </c>
      <c r="G16" s="235" t="s">
        <v>1361</v>
      </c>
      <c r="H16" s="235" t="s">
        <v>1355</v>
      </c>
      <c r="I16" s="235" t="s">
        <v>1386</v>
      </c>
      <c r="J16" s="234" t="s">
        <v>1361</v>
      </c>
    </row>
    <row r="17" spans="1:10">
      <c r="A17" s="232">
        <v>16</v>
      </c>
      <c r="B17" s="234" t="s">
        <v>1365</v>
      </c>
      <c r="C17" s="234" t="s">
        <v>1368</v>
      </c>
      <c r="D17" s="235" t="s">
        <v>1387</v>
      </c>
      <c r="E17" s="235" t="s">
        <v>1128</v>
      </c>
      <c r="F17" s="235" t="s">
        <v>1361</v>
      </c>
      <c r="G17" s="235" t="s">
        <v>1354</v>
      </c>
      <c r="H17" s="235" t="s">
        <v>1361</v>
      </c>
      <c r="I17" s="235" t="s">
        <v>1381</v>
      </c>
      <c r="J17" s="234" t="s">
        <v>1361</v>
      </c>
    </row>
    <row r="18" spans="1:10">
      <c r="A18" s="232">
        <v>17</v>
      </c>
      <c r="B18" s="234" t="s">
        <v>1365</v>
      </c>
      <c r="C18" s="234" t="s">
        <v>1368</v>
      </c>
      <c r="D18" s="235" t="s">
        <v>1388</v>
      </c>
      <c r="E18" s="235" t="s">
        <v>1128</v>
      </c>
      <c r="F18" s="235" t="s">
        <v>1361</v>
      </c>
      <c r="G18" s="235" t="s">
        <v>1354</v>
      </c>
      <c r="H18" s="235" t="s">
        <v>1361</v>
      </c>
      <c r="I18" s="235" t="s">
        <v>1389</v>
      </c>
      <c r="J18" s="234" t="s">
        <v>1361</v>
      </c>
    </row>
    <row r="19" spans="1:10">
      <c r="A19" s="232">
        <v>18</v>
      </c>
      <c r="B19" s="234" t="s">
        <v>1365</v>
      </c>
      <c r="C19" s="234" t="s">
        <v>1368</v>
      </c>
      <c r="D19" s="235" t="s">
        <v>1390</v>
      </c>
      <c r="E19" s="235" t="s">
        <v>1128</v>
      </c>
      <c r="F19" s="235" t="s">
        <v>1361</v>
      </c>
      <c r="G19" s="235" t="s">
        <v>1354</v>
      </c>
      <c r="H19" s="235" t="s">
        <v>1361</v>
      </c>
      <c r="I19" s="235" t="s">
        <v>1386</v>
      </c>
      <c r="J19" s="234" t="s">
        <v>1361</v>
      </c>
    </row>
    <row r="20" spans="1:10">
      <c r="A20" s="232">
        <v>19</v>
      </c>
      <c r="B20" s="234" t="s">
        <v>1365</v>
      </c>
      <c r="C20" s="234" t="s">
        <v>1368</v>
      </c>
      <c r="D20" s="235" t="s">
        <v>1391</v>
      </c>
      <c r="E20" s="235" t="s">
        <v>1128</v>
      </c>
      <c r="F20" s="235" t="s">
        <v>1361</v>
      </c>
      <c r="G20" s="235" t="s">
        <v>1361</v>
      </c>
      <c r="H20" s="235" t="s">
        <v>1355</v>
      </c>
      <c r="I20" s="235" t="s">
        <v>1376</v>
      </c>
      <c r="J20" s="234" t="s">
        <v>1361</v>
      </c>
    </row>
    <row r="21" spans="1:10">
      <c r="A21" s="232">
        <v>20</v>
      </c>
      <c r="B21" s="234" t="s">
        <v>1365</v>
      </c>
      <c r="C21" s="234" t="s">
        <v>1368</v>
      </c>
      <c r="D21" s="235" t="s">
        <v>1392</v>
      </c>
      <c r="E21" s="235" t="s">
        <v>1128</v>
      </c>
      <c r="F21" s="235" t="s">
        <v>1361</v>
      </c>
      <c r="G21" s="235" t="s">
        <v>1354</v>
      </c>
      <c r="H21" s="235" t="s">
        <v>1361</v>
      </c>
      <c r="I21" s="235" t="s">
        <v>1372</v>
      </c>
      <c r="J21" s="234" t="s">
        <v>1361</v>
      </c>
    </row>
    <row r="22" spans="1:10">
      <c r="A22" s="232">
        <v>21</v>
      </c>
      <c r="B22" s="234" t="s">
        <v>1393</v>
      </c>
      <c r="C22" s="234" t="s">
        <v>1394</v>
      </c>
      <c r="D22" s="235" t="s">
        <v>1395</v>
      </c>
      <c r="E22" s="235" t="s">
        <v>1133</v>
      </c>
      <c r="F22" s="235" t="s">
        <v>1361</v>
      </c>
      <c r="G22" s="235" t="s">
        <v>1354</v>
      </c>
      <c r="H22" s="235" t="s">
        <v>1361</v>
      </c>
      <c r="I22" s="235" t="s">
        <v>1009</v>
      </c>
      <c r="J22" s="234" t="s">
        <v>1361</v>
      </c>
    </row>
    <row r="23" spans="1:10">
      <c r="A23" s="232">
        <v>22</v>
      </c>
      <c r="B23" s="234" t="s">
        <v>1393</v>
      </c>
      <c r="C23" s="234" t="s">
        <v>1394</v>
      </c>
      <c r="D23" s="235" t="s">
        <v>382</v>
      </c>
      <c r="E23" s="235" t="s">
        <v>1133</v>
      </c>
      <c r="F23" s="235" t="s">
        <v>1361</v>
      </c>
      <c r="G23" s="235" t="s">
        <v>1354</v>
      </c>
      <c r="H23" s="235" t="s">
        <v>1361</v>
      </c>
      <c r="I23" s="235" t="s">
        <v>1009</v>
      </c>
      <c r="J23" s="234" t="s">
        <v>1361</v>
      </c>
    </row>
    <row r="24" spans="1:10">
      <c r="A24" s="232">
        <v>23</v>
      </c>
      <c r="B24" s="234" t="s">
        <v>1393</v>
      </c>
      <c r="C24" s="234" t="s">
        <v>1396</v>
      </c>
      <c r="D24" s="235" t="s">
        <v>1397</v>
      </c>
      <c r="E24" s="235" t="s">
        <v>1133</v>
      </c>
      <c r="F24" s="235" t="s">
        <v>1361</v>
      </c>
      <c r="G24" s="235" t="s">
        <v>1354</v>
      </c>
      <c r="H24" s="235" t="s">
        <v>1361</v>
      </c>
      <c r="I24" s="235" t="s">
        <v>1009</v>
      </c>
      <c r="J24" s="234" t="s">
        <v>1361</v>
      </c>
    </row>
    <row r="25" spans="1:10">
      <c r="A25" s="232">
        <v>24</v>
      </c>
      <c r="B25" s="234" t="s">
        <v>1393</v>
      </c>
      <c r="C25" s="234" t="s">
        <v>1398</v>
      </c>
      <c r="D25" s="235" t="s">
        <v>1399</v>
      </c>
      <c r="E25" s="235" t="s">
        <v>1133</v>
      </c>
      <c r="F25" s="235" t="s">
        <v>1361</v>
      </c>
      <c r="G25" s="235" t="s">
        <v>1354</v>
      </c>
      <c r="H25" s="235" t="s">
        <v>1361</v>
      </c>
      <c r="I25" s="235" t="s">
        <v>1009</v>
      </c>
      <c r="J25" s="234" t="s">
        <v>1361</v>
      </c>
    </row>
    <row r="26" spans="1:10">
      <c r="A26" s="232">
        <v>25</v>
      </c>
      <c r="B26" s="234" t="s">
        <v>1393</v>
      </c>
      <c r="C26" s="234" t="s">
        <v>1398</v>
      </c>
      <c r="D26" s="235" t="s">
        <v>1400</v>
      </c>
      <c r="E26" s="235" t="s">
        <v>1133</v>
      </c>
      <c r="F26" s="235" t="s">
        <v>1361</v>
      </c>
      <c r="G26" s="235" t="s">
        <v>1354</v>
      </c>
      <c r="H26" s="235" t="s">
        <v>1361</v>
      </c>
      <c r="I26" s="235" t="s">
        <v>1009</v>
      </c>
      <c r="J26" s="234" t="s">
        <v>1361</v>
      </c>
    </row>
    <row r="27" spans="1:10">
      <c r="A27" s="232">
        <v>26</v>
      </c>
      <c r="B27" s="234" t="s">
        <v>1401</v>
      </c>
      <c r="C27" s="234" t="s">
        <v>1191</v>
      </c>
      <c r="D27" s="235" t="s">
        <v>173</v>
      </c>
      <c r="E27" s="235" t="s">
        <v>1133</v>
      </c>
      <c r="F27" s="235" t="s">
        <v>1361</v>
      </c>
      <c r="G27" s="235" t="s">
        <v>1354</v>
      </c>
      <c r="H27" s="235" t="s">
        <v>1361</v>
      </c>
      <c r="I27" s="235" t="str">
        <f>_xlfn.XLOOKUP(D27,비상연락망!E:E,비상연락망!B:B,"",0,1)</f>
        <v>톡톡 스마트오피스 앱</v>
      </c>
      <c r="J27" s="234" t="s">
        <v>1361</v>
      </c>
    </row>
    <row r="28" spans="1:10">
      <c r="A28" s="232">
        <v>27</v>
      </c>
      <c r="B28" s="234" t="s">
        <v>1401</v>
      </c>
      <c r="C28" s="234" t="s">
        <v>1185</v>
      </c>
      <c r="D28" s="235" t="s">
        <v>165</v>
      </c>
      <c r="E28" s="235" t="s">
        <v>1133</v>
      </c>
      <c r="F28" s="235" t="s">
        <v>1361</v>
      </c>
      <c r="G28" s="235" t="s">
        <v>1354</v>
      </c>
      <c r="H28" s="235" t="s">
        <v>1361</v>
      </c>
      <c r="I28" s="235" t="str">
        <f>_xlfn.XLOOKUP(D28,비상연락망!E:E,비상연락망!B:B,"",0,1)</f>
        <v>ESG Data HUB</v>
      </c>
      <c r="J28" s="234" t="s">
        <v>1361</v>
      </c>
    </row>
    <row r="29" spans="1:10">
      <c r="A29" s="232">
        <v>28</v>
      </c>
      <c r="B29" s="234" t="s">
        <v>1401</v>
      </c>
      <c r="C29" s="234" t="s">
        <v>1179</v>
      </c>
      <c r="D29" s="235" t="s">
        <v>156</v>
      </c>
      <c r="E29" s="235" t="s">
        <v>1133</v>
      </c>
      <c r="F29" s="235" t="s">
        <v>1361</v>
      </c>
      <c r="G29" s="235" t="s">
        <v>1354</v>
      </c>
      <c r="H29" s="235" t="s">
        <v>1361</v>
      </c>
      <c r="I29" s="235" t="str">
        <f>_xlfn.XLOOKUP(D29,비상연락망!E:E,비상연락망!B:B,"",0,1)</f>
        <v>스마트오피스 서비스</v>
      </c>
      <c r="J29" s="234" t="s">
        <v>1361</v>
      </c>
    </row>
    <row r="30" spans="1:10">
      <c r="A30" s="232">
        <v>29</v>
      </c>
      <c r="B30" s="234" t="s">
        <v>1401</v>
      </c>
      <c r="C30" s="234" t="s">
        <v>1277</v>
      </c>
      <c r="D30" s="235" t="s">
        <v>297</v>
      </c>
      <c r="E30" s="235" t="s">
        <v>1133</v>
      </c>
      <c r="F30" s="235" t="s">
        <v>1361</v>
      </c>
      <c r="G30" s="235" t="s">
        <v>1354</v>
      </c>
      <c r="H30" s="235" t="s">
        <v>1361</v>
      </c>
      <c r="I30" s="235" t="str">
        <f>_xlfn.XLOOKUP(D30,비상연락망!E:E,비상연락망!B:B,"",0,1)</f>
        <v>화학연구소 CMS</v>
      </c>
      <c r="J30" s="234" t="s">
        <v>1361</v>
      </c>
    </row>
    <row r="31" spans="1:10">
      <c r="A31" s="232">
        <v>30</v>
      </c>
      <c r="B31" s="234" t="s">
        <v>1401</v>
      </c>
      <c r="C31" s="234" t="s">
        <v>1303</v>
      </c>
      <c r="D31" s="235" t="s">
        <v>345</v>
      </c>
      <c r="E31" s="235" t="s">
        <v>1133</v>
      </c>
      <c r="F31" s="235" t="s">
        <v>1361</v>
      </c>
      <c r="G31" s="235" t="s">
        <v>1361</v>
      </c>
      <c r="H31" s="235" t="s">
        <v>1355</v>
      </c>
      <c r="I31" s="235" t="str">
        <f>_xlfn.XLOOKUP(D31,비상연락망!E:E,비상연락망!B:B,"",0,1)</f>
        <v>EDI</v>
      </c>
      <c r="J31" s="234" t="s">
        <v>1361</v>
      </c>
    </row>
    <row r="32" spans="1:10">
      <c r="A32" s="232">
        <v>31</v>
      </c>
      <c r="B32" s="234" t="s">
        <v>1401</v>
      </c>
      <c r="C32" s="234" t="s">
        <v>1173</v>
      </c>
      <c r="D32" s="235" t="s">
        <v>150</v>
      </c>
      <c r="E32" s="235" t="s">
        <v>1133</v>
      </c>
      <c r="F32" s="235" t="s">
        <v>1361</v>
      </c>
      <c r="G32" s="235" t="s">
        <v>1354</v>
      </c>
      <c r="H32" s="235" t="s">
        <v>1361</v>
      </c>
      <c r="I32" s="235" t="str">
        <f>_xlfn.XLOOKUP(D32,비상연락망!E:E,비상연락망!B:B,"",0,1)</f>
        <v>법무포탈</v>
      </c>
      <c r="J32" s="234" t="s">
        <v>1361</v>
      </c>
    </row>
    <row r="33" spans="1:10">
      <c r="A33" s="232">
        <v>32</v>
      </c>
      <c r="B33" s="234" t="s">
        <v>1401</v>
      </c>
      <c r="C33" s="234" t="s">
        <v>1231</v>
      </c>
      <c r="D33" s="235" t="s">
        <v>249</v>
      </c>
      <c r="E33" s="235" t="s">
        <v>1133</v>
      </c>
      <c r="F33" s="235" t="s">
        <v>1361</v>
      </c>
      <c r="G33" s="235"/>
      <c r="H33" s="235" t="s">
        <v>1355</v>
      </c>
      <c r="I33" s="235" t="str">
        <f>_xlfn.XLOOKUP(D33,비상연락망!E:E,비상연락망!B:B,"",0,1)</f>
        <v>SK케미칼 매입통합</v>
      </c>
      <c r="J33" s="234" t="s">
        <v>1361</v>
      </c>
    </row>
    <row r="34" spans="1:10">
      <c r="A34" s="232">
        <v>33</v>
      </c>
      <c r="B34" s="234" t="s">
        <v>1401</v>
      </c>
      <c r="C34" s="234" t="s">
        <v>1237</v>
      </c>
      <c r="D34" s="235" t="s">
        <v>1402</v>
      </c>
      <c r="E34" s="235" t="s">
        <v>1133</v>
      </c>
      <c r="F34" s="235" t="s">
        <v>1403</v>
      </c>
      <c r="G34" s="235" t="s">
        <v>1361</v>
      </c>
      <c r="H34" s="235" t="s">
        <v>1355</v>
      </c>
      <c r="I34" s="235" t="s">
        <v>1235</v>
      </c>
      <c r="J34" s="234" t="s">
        <v>1361</v>
      </c>
    </row>
    <row r="35" spans="1:10">
      <c r="A35" s="232">
        <v>34</v>
      </c>
      <c r="B35" s="234" t="s">
        <v>1401</v>
      </c>
      <c r="C35" s="234" t="s">
        <v>1237</v>
      </c>
      <c r="D35" s="235" t="s">
        <v>1404</v>
      </c>
      <c r="E35" s="235" t="s">
        <v>1133</v>
      </c>
      <c r="F35" s="235" t="s">
        <v>1405</v>
      </c>
      <c r="G35" s="235" t="s">
        <v>1361</v>
      </c>
      <c r="H35" s="235" t="s">
        <v>1355</v>
      </c>
      <c r="I35" s="235" t="s">
        <v>1235</v>
      </c>
      <c r="J35" s="234" t="s">
        <v>1361</v>
      </c>
    </row>
    <row r="36" spans="1:10">
      <c r="A36" s="232">
        <v>35</v>
      </c>
      <c r="B36" s="234" t="s">
        <v>1401</v>
      </c>
      <c r="C36" s="234" t="s">
        <v>1146</v>
      </c>
      <c r="D36" s="235" t="s">
        <v>110</v>
      </c>
      <c r="E36" s="235" t="s">
        <v>1133</v>
      </c>
      <c r="F36" s="235" t="s">
        <v>1361</v>
      </c>
      <c r="G36" s="235" t="s">
        <v>1354</v>
      </c>
      <c r="H36" s="235" t="s">
        <v>1361</v>
      </c>
      <c r="I36" s="235" t="str">
        <f>_xlfn.XLOOKUP(D36,비상연락망!E:E,비상연락망!B:B,"",0,1)</f>
        <v>RPA</v>
      </c>
      <c r="J36" s="234" t="s">
        <v>1361</v>
      </c>
    </row>
    <row r="37" spans="1:10">
      <c r="A37" s="232">
        <v>36</v>
      </c>
      <c r="B37" s="234" t="s">
        <v>1401</v>
      </c>
      <c r="C37" s="234" t="s">
        <v>1270</v>
      </c>
      <c r="D37" s="235" t="s">
        <v>292</v>
      </c>
      <c r="E37" s="235" t="s">
        <v>1133</v>
      </c>
      <c r="F37" s="235" t="s">
        <v>1361</v>
      </c>
      <c r="G37" s="235" t="s">
        <v>1354</v>
      </c>
      <c r="H37" s="235" t="s">
        <v>1361</v>
      </c>
      <c r="I37" s="235" t="str">
        <f>_xlfn.XLOOKUP(D37,비상연락망!E:E,비상연락망!B:B,"",0,1)</f>
        <v>특허관리시스템</v>
      </c>
      <c r="J37" s="234" t="s">
        <v>1361</v>
      </c>
    </row>
    <row r="38" spans="1:10">
      <c r="A38" s="232">
        <v>37</v>
      </c>
      <c r="B38" s="234" t="s">
        <v>1401</v>
      </c>
      <c r="C38" s="234" t="s">
        <v>1219</v>
      </c>
      <c r="D38" s="235" t="s">
        <v>220</v>
      </c>
      <c r="E38" s="235" t="s">
        <v>1133</v>
      </c>
      <c r="F38" s="235" t="s">
        <v>1361</v>
      </c>
      <c r="G38" s="235"/>
      <c r="H38" s="235" t="s">
        <v>1355</v>
      </c>
      <c r="I38" s="235" t="str">
        <f>_xlfn.XLOOKUP(D38,비상연락망!E:E,비상연락망!B:B,"",0,1)</f>
        <v>콜센터</v>
      </c>
      <c r="J38" s="234" t="s">
        <v>1361</v>
      </c>
    </row>
    <row r="39" spans="1:10">
      <c r="A39" s="232">
        <v>38</v>
      </c>
      <c r="B39" s="234" t="s">
        <v>1401</v>
      </c>
      <c r="C39" s="234" t="s">
        <v>1259</v>
      </c>
      <c r="D39" s="235" t="s">
        <v>1406</v>
      </c>
      <c r="E39" s="235" t="s">
        <v>1133</v>
      </c>
      <c r="F39" s="235" t="s">
        <v>1403</v>
      </c>
      <c r="G39" s="235" t="s">
        <v>1354</v>
      </c>
      <c r="H39" s="235" t="s">
        <v>1361</v>
      </c>
      <c r="I39" s="235" t="s">
        <v>1257</v>
      </c>
      <c r="J39" s="234" t="s">
        <v>1361</v>
      </c>
    </row>
    <row r="40" spans="1:10">
      <c r="A40" s="232">
        <v>39</v>
      </c>
      <c r="B40" s="234" t="s">
        <v>1401</v>
      </c>
      <c r="C40" s="234" t="s">
        <v>1259</v>
      </c>
      <c r="D40" s="235" t="s">
        <v>1407</v>
      </c>
      <c r="E40" s="235" t="s">
        <v>1133</v>
      </c>
      <c r="F40" s="235" t="s">
        <v>1405</v>
      </c>
      <c r="G40" s="235" t="s">
        <v>1354</v>
      </c>
      <c r="H40" s="235" t="s">
        <v>1361</v>
      </c>
      <c r="I40" s="235" t="s">
        <v>1257</v>
      </c>
      <c r="J40" s="234" t="s">
        <v>1361</v>
      </c>
    </row>
    <row r="41" spans="1:10">
      <c r="A41" s="232">
        <v>40</v>
      </c>
      <c r="B41" s="234" t="s">
        <v>1408</v>
      </c>
      <c r="C41" s="234" t="s">
        <v>1409</v>
      </c>
      <c r="D41" s="235" t="s">
        <v>1410</v>
      </c>
      <c r="E41" s="235" t="s">
        <v>1128</v>
      </c>
      <c r="F41" s="235" t="s">
        <v>1361</v>
      </c>
      <c r="G41" s="235" t="s">
        <v>1354</v>
      </c>
      <c r="H41" s="235" t="s">
        <v>1361</v>
      </c>
      <c r="I41" s="235" t="s">
        <v>1411</v>
      </c>
      <c r="J41" s="234" t="s">
        <v>1361</v>
      </c>
    </row>
    <row r="42" spans="1:10">
      <c r="A42" s="232">
        <v>41</v>
      </c>
      <c r="B42" s="234" t="s">
        <v>1408</v>
      </c>
      <c r="C42" s="234" t="s">
        <v>1130</v>
      </c>
      <c r="D42" s="235" t="s">
        <v>131</v>
      </c>
      <c r="E42" s="235" t="s">
        <v>1128</v>
      </c>
      <c r="F42" s="235" t="s">
        <v>1361</v>
      </c>
      <c r="G42" s="235" t="s">
        <v>1354</v>
      </c>
      <c r="H42" s="235" t="s">
        <v>1361</v>
      </c>
      <c r="I42" s="235" t="str">
        <f>_xlfn.XLOOKUP(D42,비상연락망!E:E,비상연락망!B:B,"",0,1)</f>
        <v>데이터포털</v>
      </c>
      <c r="J42" s="234" t="s">
        <v>1361</v>
      </c>
    </row>
    <row r="43" spans="1:10">
      <c r="A43" s="232">
        <v>42</v>
      </c>
      <c r="B43" s="234" t="s">
        <v>1408</v>
      </c>
      <c r="C43" s="234" t="s">
        <v>1130</v>
      </c>
      <c r="D43" s="235" t="s">
        <v>359</v>
      </c>
      <c r="E43" s="235" t="s">
        <v>1128</v>
      </c>
      <c r="F43" s="235" t="s">
        <v>1361</v>
      </c>
      <c r="G43" s="235" t="s">
        <v>1354</v>
      </c>
      <c r="H43" s="235" t="s">
        <v>1361</v>
      </c>
      <c r="I43" s="235" t="str">
        <f>_xlfn.XLOOKUP(D43,비상연락망!E:E,비상연락망!B:B,"",0,1)</f>
        <v>구매포탈</v>
      </c>
      <c r="J43" s="234" t="s">
        <v>1361</v>
      </c>
    </row>
    <row r="44" spans="1:10">
      <c r="A44" s="232">
        <v>43</v>
      </c>
      <c r="B44" s="234" t="s">
        <v>1408</v>
      </c>
      <c r="C44" s="234" t="s">
        <v>1130</v>
      </c>
      <c r="D44" s="235" t="s">
        <v>65</v>
      </c>
      <c r="E44" s="235" t="s">
        <v>1128</v>
      </c>
      <c r="F44" s="235" t="s">
        <v>1361</v>
      </c>
      <c r="G44" s="235" t="s">
        <v>1354</v>
      </c>
      <c r="H44" s="235" t="s">
        <v>1361</v>
      </c>
      <c r="I44" s="235" t="str">
        <f>_xlfn.XLOOKUP(D44,비상연락망!E:E,비상연락망!B:B,"",0,1)</f>
        <v>HR G/W HCM G/W</v>
      </c>
      <c r="J44" s="234" t="s">
        <v>1361</v>
      </c>
    </row>
    <row r="45" spans="1:10">
      <c r="A45" s="232">
        <v>44</v>
      </c>
      <c r="B45" s="234" t="s">
        <v>1408</v>
      </c>
      <c r="C45" s="234" t="s">
        <v>1130</v>
      </c>
      <c r="D45" s="235" t="s">
        <v>313</v>
      </c>
      <c r="E45" s="235" t="s">
        <v>1128</v>
      </c>
      <c r="F45" s="235" t="s">
        <v>1361</v>
      </c>
      <c r="G45" s="235" t="s">
        <v>1354</v>
      </c>
      <c r="H45" s="235" t="s">
        <v>1361</v>
      </c>
      <c r="I45" s="235" t="str">
        <f>_xlfn.XLOOKUP(D45,비상연락망!E:E,비상연락망!B:B,"",0,1)</f>
        <v>안동 SHE</v>
      </c>
      <c r="J45" s="234" t="s">
        <v>1361</v>
      </c>
    </row>
    <row r="46" spans="1:10">
      <c r="A46" s="232">
        <v>45</v>
      </c>
      <c r="B46" s="233" t="s">
        <v>1408</v>
      </c>
      <c r="C46" s="234" t="s">
        <v>1152</v>
      </c>
      <c r="D46" s="235" t="s">
        <v>114</v>
      </c>
      <c r="E46" s="235" t="s">
        <v>1133</v>
      </c>
      <c r="F46" s="235" t="s">
        <v>1361</v>
      </c>
      <c r="G46" s="235" t="s">
        <v>1361</v>
      </c>
      <c r="H46" s="235" t="s">
        <v>1355</v>
      </c>
      <c r="I46" s="235" t="str">
        <f>_xlfn.XLOOKUP(D46,비상연락망!E:E,비상연락망!B:B,"",0,1)</f>
        <v>UI/UX</v>
      </c>
      <c r="J46" s="234" t="s">
        <v>1364</v>
      </c>
    </row>
    <row r="47" spans="1:10">
      <c r="A47" s="232">
        <v>46</v>
      </c>
      <c r="B47" s="234" t="s">
        <v>1408</v>
      </c>
      <c r="C47" s="234" t="s">
        <v>1242</v>
      </c>
      <c r="D47" s="235" t="s">
        <v>258</v>
      </c>
      <c r="E47" s="235" t="s">
        <v>1128</v>
      </c>
      <c r="F47" s="235" t="s">
        <v>1361</v>
      </c>
      <c r="G47" s="235" t="s">
        <v>1354</v>
      </c>
      <c r="H47" s="235" t="s">
        <v>1361</v>
      </c>
      <c r="I47" s="235" t="str">
        <f>_xlfn.XLOOKUP(D47,비상연락망!E:E,비상연락망!B:B,"",0,1)</f>
        <v>비용정산</v>
      </c>
      <c r="J47" s="234" t="s">
        <v>1361</v>
      </c>
    </row>
    <row r="48" spans="1:10">
      <c r="A48" s="232">
        <v>47</v>
      </c>
      <c r="B48" s="234" t="s">
        <v>1408</v>
      </c>
      <c r="C48" s="234" t="s">
        <v>1282</v>
      </c>
      <c r="D48" s="235" t="s">
        <v>303</v>
      </c>
      <c r="E48" s="235" t="s">
        <v>1128</v>
      </c>
      <c r="F48" s="235" t="s">
        <v>1361</v>
      </c>
      <c r="G48" s="235" t="s">
        <v>1361</v>
      </c>
      <c r="H48" s="235" t="s">
        <v>1355</v>
      </c>
      <c r="I48" s="235" t="str">
        <f>_xlfn.XLOOKUP(D48,비상연락망!E:E,비상연락망!B:B,"",0,1)</f>
        <v>화학연구소 RPMS</v>
      </c>
      <c r="J48" s="234" t="s">
        <v>1361</v>
      </c>
    </row>
    <row r="49" spans="1:10">
      <c r="A49" s="232">
        <v>48</v>
      </c>
      <c r="B49" s="234" t="s">
        <v>1408</v>
      </c>
      <c r="C49" s="234" t="s">
        <v>1282</v>
      </c>
      <c r="D49" s="235" t="s">
        <v>324</v>
      </c>
      <c r="E49" s="235" t="s">
        <v>1128</v>
      </c>
      <c r="F49" s="235" t="s">
        <v>1361</v>
      </c>
      <c r="G49" s="235" t="s">
        <v>1354</v>
      </c>
      <c r="H49" s="235" t="s">
        <v>1361</v>
      </c>
      <c r="I49" s="235" t="str">
        <f>_xlfn.XLOOKUP(D49,비상연락망!E:E,비상연락망!B:B,"",0,1)</f>
        <v>SCM</v>
      </c>
      <c r="J49" s="234" t="s">
        <v>1361</v>
      </c>
    </row>
    <row r="50" spans="1:10">
      <c r="A50" s="232">
        <v>49</v>
      </c>
      <c r="B50" s="234" t="s">
        <v>1408</v>
      </c>
      <c r="C50" s="234" t="s">
        <v>1157</v>
      </c>
      <c r="D50" s="235" t="s">
        <v>1412</v>
      </c>
      <c r="E50" s="235" t="s">
        <v>1128</v>
      </c>
      <c r="F50" s="235" t="s">
        <v>1361</v>
      </c>
      <c r="G50" s="235" t="s">
        <v>1354</v>
      </c>
      <c r="H50" s="235" t="s">
        <v>1361</v>
      </c>
      <c r="I50" s="235" t="s">
        <v>1317</v>
      </c>
      <c r="J50" s="234" t="s">
        <v>1361</v>
      </c>
    </row>
    <row r="51" spans="1:10">
      <c r="A51" s="232">
        <v>50</v>
      </c>
      <c r="B51" s="234" t="s">
        <v>1408</v>
      </c>
      <c r="C51" s="234" t="s">
        <v>1157</v>
      </c>
      <c r="D51" s="235" t="s">
        <v>185</v>
      </c>
      <c r="E51" s="235" t="s">
        <v>1128</v>
      </c>
      <c r="F51" s="235" t="s">
        <v>1361</v>
      </c>
      <c r="G51" s="235" t="s">
        <v>1354</v>
      </c>
      <c r="H51" s="235" t="s">
        <v>1361</v>
      </c>
      <c r="I51" s="235" t="s">
        <v>1223</v>
      </c>
      <c r="J51" s="234" t="s">
        <v>1361</v>
      </c>
    </row>
    <row r="52" spans="1:10">
      <c r="A52" s="232">
        <v>51</v>
      </c>
      <c r="B52" s="234" t="s">
        <v>1408</v>
      </c>
      <c r="C52" s="234" t="s">
        <v>1157</v>
      </c>
      <c r="D52" s="235" t="s">
        <v>1413</v>
      </c>
      <c r="E52" s="235" t="s">
        <v>1128</v>
      </c>
      <c r="F52" s="235" t="s">
        <v>1361</v>
      </c>
      <c r="G52" s="235" t="s">
        <v>1354</v>
      </c>
      <c r="H52" s="235" t="s">
        <v>1361</v>
      </c>
      <c r="I52" s="235" t="s">
        <v>1317</v>
      </c>
      <c r="J52" s="234" t="s">
        <v>1361</v>
      </c>
    </row>
    <row r="53" spans="1:10">
      <c r="A53" s="232">
        <v>52</v>
      </c>
      <c r="B53" s="234" t="s">
        <v>1408</v>
      </c>
      <c r="C53" s="234" t="s">
        <v>1157</v>
      </c>
      <c r="D53" s="235" t="s">
        <v>190</v>
      </c>
      <c r="E53" s="235" t="s">
        <v>1128</v>
      </c>
      <c r="F53" s="235" t="s">
        <v>1361</v>
      </c>
      <c r="G53" s="235" t="s">
        <v>1354</v>
      </c>
      <c r="H53" s="235" t="s">
        <v>1361</v>
      </c>
      <c r="I53" s="235" t="s">
        <v>232</v>
      </c>
      <c r="J53" s="234" t="s">
        <v>1361</v>
      </c>
    </row>
    <row r="54" spans="1:10">
      <c r="A54" s="232">
        <v>53</v>
      </c>
      <c r="B54" s="234" t="s">
        <v>1408</v>
      </c>
      <c r="C54" s="234" t="s">
        <v>1157</v>
      </c>
      <c r="D54" s="235" t="s">
        <v>353</v>
      </c>
      <c r="E54" s="235" t="s">
        <v>1128</v>
      </c>
      <c r="F54" s="235" t="s">
        <v>1361</v>
      </c>
      <c r="G54" s="235" t="s">
        <v>1354</v>
      </c>
      <c r="H54" s="235" t="s">
        <v>1361</v>
      </c>
      <c r="I54" s="235" t="str">
        <f>_xlfn.XLOOKUP(D54,비상연락망!E:E,비상연락망!B:B,"",0,1)</f>
        <v>SKYSCM</v>
      </c>
      <c r="J54" s="234" t="s">
        <v>1361</v>
      </c>
    </row>
    <row r="55" spans="1:10">
      <c r="A55" s="232">
        <v>54</v>
      </c>
      <c r="B55" s="234" t="s">
        <v>1408</v>
      </c>
      <c r="C55" s="234" t="s">
        <v>1157</v>
      </c>
      <c r="D55" s="235" t="s">
        <v>238</v>
      </c>
      <c r="E55" s="235" t="s">
        <v>1128</v>
      </c>
      <c r="F55" s="235" t="s">
        <v>1361</v>
      </c>
      <c r="G55" s="235" t="s">
        <v>1354</v>
      </c>
      <c r="H55" s="235" t="s">
        <v>1361</v>
      </c>
      <c r="I55" s="235" t="str">
        <f>_xlfn.XLOOKUP(D55,비상연락망!E:E,비상연락망!B:B,"",0,1)</f>
        <v>플라즈마 SFE</v>
      </c>
      <c r="J55" s="234" t="s">
        <v>1361</v>
      </c>
    </row>
    <row r="56" spans="1:10">
      <c r="A56" s="232">
        <v>55</v>
      </c>
      <c r="B56" s="234" t="s">
        <v>1408</v>
      </c>
      <c r="C56" s="234" t="s">
        <v>1157</v>
      </c>
      <c r="D56" s="235" t="s">
        <v>210</v>
      </c>
      <c r="E56" s="235" t="s">
        <v>1128</v>
      </c>
      <c r="F56" s="235" t="s">
        <v>1361</v>
      </c>
      <c r="G56" s="235" t="s">
        <v>1354</v>
      </c>
      <c r="H56" s="235" t="s">
        <v>1361</v>
      </c>
      <c r="I56" s="235" t="str">
        <f>_xlfn.XLOOKUP(D56,비상연락망!E:E,비상연락망!B:B,"",0,1)</f>
        <v>엔티스_MIS</v>
      </c>
      <c r="J56" s="234" t="s">
        <v>1361</v>
      </c>
    </row>
    <row r="57" spans="1:10">
      <c r="A57" s="232">
        <v>56</v>
      </c>
      <c r="B57" s="234" t="s">
        <v>1408</v>
      </c>
      <c r="C57" s="234" t="s">
        <v>1157</v>
      </c>
      <c r="D57" s="235" t="s">
        <v>1414</v>
      </c>
      <c r="E57" s="235" t="s">
        <v>1128</v>
      </c>
      <c r="F57" s="235" t="s">
        <v>1361</v>
      </c>
      <c r="G57" s="235" t="s">
        <v>1354</v>
      </c>
      <c r="H57" s="235" t="s">
        <v>1361</v>
      </c>
      <c r="I57" s="235" t="s">
        <v>1411</v>
      </c>
      <c r="J57" s="234" t="s">
        <v>1361</v>
      </c>
    </row>
    <row r="58" spans="1:10">
      <c r="A58" s="232">
        <v>57</v>
      </c>
      <c r="B58" s="233" t="s">
        <v>1415</v>
      </c>
      <c r="C58" s="234" t="s">
        <v>1162</v>
      </c>
      <c r="D58" s="235" t="s">
        <v>124</v>
      </c>
      <c r="E58" s="235" t="s">
        <v>1128</v>
      </c>
      <c r="F58" s="235" t="s">
        <v>1361</v>
      </c>
      <c r="G58" s="235" t="s">
        <v>1354</v>
      </c>
      <c r="H58" s="235" t="s">
        <v>1361</v>
      </c>
      <c r="I58" s="235" t="str">
        <f>_xlfn.XLOOKUP(D58,비상연락망!E:E,비상연락망!B:B,"",0,1)</f>
        <v>데이터레이크</v>
      </c>
      <c r="J58" s="234" t="s">
        <v>1416</v>
      </c>
    </row>
    <row r="59" spans="1:10">
      <c r="A59" s="232">
        <v>58</v>
      </c>
      <c r="B59" s="234" t="s">
        <v>1417</v>
      </c>
      <c r="C59" s="234" t="s">
        <v>1394</v>
      </c>
      <c r="D59" s="235" t="s">
        <v>365</v>
      </c>
      <c r="E59" s="235" t="s">
        <v>1128</v>
      </c>
      <c r="F59" s="235" t="s">
        <v>1361</v>
      </c>
      <c r="G59" s="235" t="s">
        <v>1354</v>
      </c>
      <c r="H59" s="235" t="s">
        <v>1361</v>
      </c>
      <c r="I59" s="235" t="s">
        <v>414</v>
      </c>
      <c r="J59" s="234" t="s">
        <v>1361</v>
      </c>
    </row>
    <row r="60" spans="1:10">
      <c r="A60" s="232">
        <v>59</v>
      </c>
      <c r="B60" s="234" t="s">
        <v>1417</v>
      </c>
      <c r="C60" s="234" t="s">
        <v>1394</v>
      </c>
      <c r="D60" s="235" t="s">
        <v>390</v>
      </c>
      <c r="E60" s="235" t="s">
        <v>1133</v>
      </c>
      <c r="F60" s="235" t="s">
        <v>1361</v>
      </c>
      <c r="G60" s="235" t="s">
        <v>1361</v>
      </c>
      <c r="H60" s="235" t="s">
        <v>1355</v>
      </c>
      <c r="I60" s="235" t="s">
        <v>414</v>
      </c>
      <c r="J60" s="234" t="s">
        <v>1361</v>
      </c>
    </row>
    <row r="61" spans="1:10">
      <c r="A61" s="232">
        <v>60</v>
      </c>
      <c r="B61" s="234" t="s">
        <v>1417</v>
      </c>
      <c r="C61" s="234" t="s">
        <v>1394</v>
      </c>
      <c r="D61" s="235" t="s">
        <v>84</v>
      </c>
      <c r="E61" s="235" t="s">
        <v>1128</v>
      </c>
      <c r="F61" s="235" t="s">
        <v>1361</v>
      </c>
      <c r="G61" s="235" t="s">
        <v>1354</v>
      </c>
      <c r="H61" s="235" t="s">
        <v>1361</v>
      </c>
      <c r="I61" s="235" t="s">
        <v>414</v>
      </c>
      <c r="J61" s="234" t="s">
        <v>1361</v>
      </c>
    </row>
    <row r="62" spans="1:10">
      <c r="A62" s="232">
        <v>61</v>
      </c>
      <c r="B62" s="234" t="s">
        <v>1417</v>
      </c>
      <c r="C62" s="234" t="s">
        <v>1394</v>
      </c>
      <c r="D62" s="235" t="s">
        <v>109</v>
      </c>
      <c r="E62" s="235" t="s">
        <v>1128</v>
      </c>
      <c r="F62" s="235" t="s">
        <v>1361</v>
      </c>
      <c r="G62" s="235" t="s">
        <v>1354</v>
      </c>
      <c r="H62" s="235" t="s">
        <v>1361</v>
      </c>
      <c r="I62" s="235" t="s">
        <v>414</v>
      </c>
      <c r="J62" s="234" t="s">
        <v>1361</v>
      </c>
    </row>
    <row r="63" spans="1:10">
      <c r="A63" s="232">
        <v>62</v>
      </c>
      <c r="B63" s="234" t="s">
        <v>1417</v>
      </c>
      <c r="C63" s="234" t="s">
        <v>1394</v>
      </c>
      <c r="D63" s="235" t="s">
        <v>64</v>
      </c>
      <c r="E63" s="235" t="s">
        <v>1128</v>
      </c>
      <c r="F63" s="235" t="s">
        <v>1361</v>
      </c>
      <c r="G63" s="235" t="s">
        <v>1354</v>
      </c>
      <c r="H63" s="235" t="s">
        <v>1361</v>
      </c>
      <c r="I63" s="235" t="s">
        <v>414</v>
      </c>
      <c r="J63" s="234" t="s">
        <v>1361</v>
      </c>
    </row>
    <row r="64" spans="1:10">
      <c r="A64" s="232">
        <v>63</v>
      </c>
      <c r="B64" s="234" t="s">
        <v>1361</v>
      </c>
      <c r="C64" s="234" t="s">
        <v>1252</v>
      </c>
      <c r="D64" s="235" t="s">
        <v>1250</v>
      </c>
      <c r="E64" s="235" t="s">
        <v>1133</v>
      </c>
      <c r="F64" s="235" t="s">
        <v>1361</v>
      </c>
      <c r="G64" s="235" t="s">
        <v>1354</v>
      </c>
      <c r="H64" s="235" t="s">
        <v>1361</v>
      </c>
      <c r="I64" s="235" t="str">
        <f>_xlfn.XLOOKUP(D64,비상연락망!E:E,비상연락망!B:B,"",0,1)</f>
        <v>비용정산(전자증빙)</v>
      </c>
      <c r="J64" s="234" t="s">
        <v>1418</v>
      </c>
    </row>
    <row r="65" spans="1:10">
      <c r="A65" s="232">
        <v>64</v>
      </c>
      <c r="B65" s="234" t="s">
        <v>1361</v>
      </c>
      <c r="C65" s="234" t="s">
        <v>1246</v>
      </c>
      <c r="D65" s="235" t="s">
        <v>263</v>
      </c>
      <c r="E65" s="235" t="s">
        <v>1133</v>
      </c>
      <c r="F65" s="235" t="s">
        <v>1361</v>
      </c>
      <c r="G65" s="235" t="s">
        <v>1354</v>
      </c>
      <c r="H65" s="235" t="s">
        <v>1361</v>
      </c>
      <c r="I65" s="235" t="str">
        <f>_xlfn.XLOOKUP(D65,비상연락망!E:E,비상연락망!B:B,"",0,1)</f>
        <v>비용정산 파투아</v>
      </c>
      <c r="J65" s="234" t="s">
        <v>1418</v>
      </c>
    </row>
  </sheetData>
  <autoFilter ref="A1:J1" xr:uid="{9F775568-215D-4E1D-903D-928266356F1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BFE1-C874-4AD5-8A74-3AFD05300723}">
  <sheetPr>
    <tabColor rgb="FFFF0000"/>
  </sheetPr>
  <dimension ref="A3:J54"/>
  <sheetViews>
    <sheetView topLeftCell="A8" workbookViewId="0">
      <selection activeCell="B31" sqref="B31"/>
    </sheetView>
  </sheetViews>
  <sheetFormatPr defaultRowHeight="16.5"/>
  <cols>
    <col min="1" max="1" width="5.75" customWidth="1"/>
    <col min="2" max="2" width="23.875" bestFit="1" customWidth="1"/>
    <col min="3" max="3" width="9.5" customWidth="1"/>
    <col min="4" max="4" width="25.625" bestFit="1" customWidth="1"/>
    <col min="5" max="5" width="15.625" customWidth="1"/>
    <col min="7" max="7" width="23.25" bestFit="1" customWidth="1"/>
    <col min="8" max="8" width="14.625" bestFit="1" customWidth="1"/>
    <col min="9" max="9" width="27.75" customWidth="1"/>
    <col min="10" max="10" width="22.75" customWidth="1"/>
  </cols>
  <sheetData>
    <row r="3" spans="1:10">
      <c r="A3" s="125" t="s">
        <v>1348</v>
      </c>
      <c r="B3" s="125" t="s">
        <v>413</v>
      </c>
      <c r="C3" s="126" t="s">
        <v>1419</v>
      </c>
      <c r="D3" s="127" t="s">
        <v>431</v>
      </c>
      <c r="E3" s="127" t="s">
        <v>432</v>
      </c>
      <c r="F3" s="127" t="s">
        <v>433</v>
      </c>
      <c r="G3" s="127" t="s">
        <v>434</v>
      </c>
      <c r="H3" s="127" t="s">
        <v>435</v>
      </c>
      <c r="I3" s="127" t="s">
        <v>436</v>
      </c>
      <c r="J3" s="127" t="s">
        <v>1357</v>
      </c>
    </row>
    <row r="4" spans="1:10">
      <c r="A4" s="128">
        <f>VLOOKUP(B4,'서비스 Master'!$C$4:$D$62,2,FALSE)</f>
        <v>1</v>
      </c>
      <c r="B4" s="129" t="s">
        <v>58</v>
      </c>
      <c r="C4" s="129"/>
      <c r="D4" s="129" t="s">
        <v>451</v>
      </c>
      <c r="E4" s="129" t="s">
        <v>452</v>
      </c>
      <c r="F4" s="129">
        <v>51433</v>
      </c>
      <c r="G4" s="129" t="s">
        <v>453</v>
      </c>
      <c r="H4" s="129" t="s">
        <v>73</v>
      </c>
      <c r="I4" s="129">
        <v>177.2</v>
      </c>
      <c r="J4" s="130"/>
    </row>
    <row r="5" spans="1:10">
      <c r="A5" s="128">
        <f>VLOOKUP(B5,'서비스 Master'!$C$4:$D$62,2,FALSE)</f>
        <v>2</v>
      </c>
      <c r="B5" s="129" t="s">
        <v>80</v>
      </c>
      <c r="C5" s="129"/>
      <c r="D5" s="129" t="s">
        <v>473</v>
      </c>
      <c r="E5" s="129" t="s">
        <v>474</v>
      </c>
      <c r="F5" s="129">
        <v>51433</v>
      </c>
      <c r="G5" s="129" t="s">
        <v>475</v>
      </c>
      <c r="H5" s="129" t="s">
        <v>96</v>
      </c>
      <c r="I5" s="129">
        <v>63.8</v>
      </c>
      <c r="J5" s="130"/>
    </row>
    <row r="6" spans="1:10">
      <c r="A6" s="128">
        <f>VLOOKUP(B6,'서비스 Master'!$C$4:$D$62,2,FALSE)</f>
        <v>5</v>
      </c>
      <c r="B6" s="129" t="s">
        <v>492</v>
      </c>
      <c r="C6" s="129"/>
      <c r="D6" s="129" t="s">
        <v>473</v>
      </c>
      <c r="E6" s="129" t="s">
        <v>474</v>
      </c>
      <c r="F6" s="129">
        <v>51433</v>
      </c>
      <c r="G6" s="129" t="s">
        <v>492</v>
      </c>
      <c r="H6" s="129" t="s">
        <v>96</v>
      </c>
      <c r="I6" s="129">
        <v>8.1</v>
      </c>
      <c r="J6" s="130"/>
    </row>
    <row r="7" spans="1:10">
      <c r="A7" s="128">
        <f>VLOOKUP(B7,'서비스 Master'!$C$4:$D$62,2,FALSE)</f>
        <v>7</v>
      </c>
      <c r="B7" s="129" t="s">
        <v>115</v>
      </c>
      <c r="C7" s="120"/>
      <c r="D7" s="130" t="s">
        <v>510</v>
      </c>
      <c r="E7" s="130" t="s">
        <v>511</v>
      </c>
      <c r="F7" s="129">
        <v>1521</v>
      </c>
      <c r="G7" s="129"/>
      <c r="H7" s="129" t="s">
        <v>120</v>
      </c>
      <c r="I7" s="120">
        <v>22.5</v>
      </c>
      <c r="J7" s="130" t="s">
        <v>1420</v>
      </c>
    </row>
    <row r="8" spans="1:10">
      <c r="A8" s="128">
        <f>VLOOKUP(B8,'서비스 Master'!$C$4:$D$62,2,FALSE)</f>
        <v>8</v>
      </c>
      <c r="B8" s="129" t="s">
        <v>514</v>
      </c>
      <c r="C8" s="120" t="s">
        <v>1421</v>
      </c>
      <c r="D8" s="129"/>
      <c r="E8" s="129"/>
      <c r="F8" s="129"/>
      <c r="G8" s="129"/>
      <c r="H8" s="129"/>
      <c r="I8" s="129"/>
      <c r="J8" s="130" t="s">
        <v>127</v>
      </c>
    </row>
    <row r="9" spans="1:10">
      <c r="A9" s="128">
        <f>VLOOKUP(B9,'서비스 Master'!$C$4:$D$62,2,FALSE)</f>
        <v>9</v>
      </c>
      <c r="B9" s="129" t="s">
        <v>129</v>
      </c>
      <c r="C9" s="120"/>
      <c r="D9" s="129" t="s">
        <v>531</v>
      </c>
      <c r="E9" s="129" t="s">
        <v>532</v>
      </c>
      <c r="F9" s="129">
        <v>27017</v>
      </c>
      <c r="G9" s="129" t="s">
        <v>533</v>
      </c>
      <c r="H9" s="129" t="s">
        <v>534</v>
      </c>
      <c r="I9" s="129">
        <v>9.8000000000000007</v>
      </c>
      <c r="J9" s="130"/>
    </row>
    <row r="10" spans="1:10">
      <c r="A10" s="128">
        <f>VLOOKUP(B10,'서비스 Master'!$C$4:$D$62,2,FALSE)</f>
        <v>0</v>
      </c>
      <c r="B10" s="129" t="s">
        <v>140</v>
      </c>
      <c r="C10" s="129"/>
      <c r="D10" s="129" t="s">
        <v>547</v>
      </c>
      <c r="E10" s="129" t="s">
        <v>548</v>
      </c>
      <c r="F10" s="129">
        <v>55432</v>
      </c>
      <c r="G10" s="129" t="s">
        <v>549</v>
      </c>
      <c r="H10" s="129" t="s">
        <v>146</v>
      </c>
      <c r="I10" s="129">
        <v>14</v>
      </c>
      <c r="J10" s="130"/>
    </row>
    <row r="11" spans="1:10">
      <c r="A11" s="128">
        <f>VLOOKUP(B11,'서비스 Master'!$C$4:$D$62,2,FALSE)</f>
        <v>11</v>
      </c>
      <c r="B11" s="129" t="s">
        <v>148</v>
      </c>
      <c r="C11" s="129"/>
      <c r="D11" s="129" t="s">
        <v>473</v>
      </c>
      <c r="E11" s="129" t="s">
        <v>474</v>
      </c>
      <c r="F11" s="129">
        <v>51433</v>
      </c>
      <c r="G11" s="129" t="s">
        <v>561</v>
      </c>
      <c r="H11" s="129" t="s">
        <v>96</v>
      </c>
      <c r="I11" s="129">
        <v>127.9</v>
      </c>
      <c r="J11" s="130"/>
    </row>
    <row r="12" spans="1:10">
      <c r="A12" s="128">
        <f>VLOOKUP(B12,'서비스 Master'!$C$4:$D$62,2,FALSE)</f>
        <v>12</v>
      </c>
      <c r="B12" s="129" t="s">
        <v>567</v>
      </c>
      <c r="C12" s="129"/>
      <c r="D12" s="129" t="s">
        <v>573</v>
      </c>
      <c r="E12" s="129" t="s">
        <v>574</v>
      </c>
      <c r="F12" s="129">
        <v>3306</v>
      </c>
      <c r="G12" s="129" t="s">
        <v>575</v>
      </c>
      <c r="H12" s="129" t="s">
        <v>576</v>
      </c>
      <c r="I12" s="129">
        <v>21</v>
      </c>
      <c r="J12" s="130"/>
    </row>
    <row r="13" spans="1:10">
      <c r="A13" s="128">
        <f>VLOOKUP(B13,'서비스 Master'!$C$4:$D$62,2,FALSE)</f>
        <v>13</v>
      </c>
      <c r="B13" s="129" t="s">
        <v>163</v>
      </c>
      <c r="C13" s="129"/>
      <c r="D13" s="129" t="s">
        <v>473</v>
      </c>
      <c r="E13" s="129" t="s">
        <v>595</v>
      </c>
      <c r="F13" s="129">
        <v>51433</v>
      </c>
      <c r="G13" s="129" t="s">
        <v>596</v>
      </c>
      <c r="H13" s="129" t="s">
        <v>96</v>
      </c>
      <c r="I13" s="129">
        <v>1.4</v>
      </c>
      <c r="J13" s="130"/>
    </row>
    <row r="14" spans="1:10">
      <c r="A14" s="128">
        <f>VLOOKUP(B14,'서비스 Master'!$C$4:$D$62,2,FALSE)</f>
        <v>14</v>
      </c>
      <c r="B14" s="129" t="s">
        <v>171</v>
      </c>
      <c r="C14" s="120" t="s">
        <v>1421</v>
      </c>
      <c r="D14" s="129"/>
      <c r="E14" s="129"/>
      <c r="F14" s="129"/>
      <c r="G14" s="129"/>
      <c r="H14" s="129"/>
      <c r="I14" s="129"/>
      <c r="J14" s="130"/>
    </row>
    <row r="15" spans="1:10">
      <c r="A15" s="128">
        <f>VLOOKUP(B15,'서비스 Master'!$C$4:$D$62,2,FALSE)</f>
        <v>15</v>
      </c>
      <c r="B15" s="129" t="s">
        <v>179</v>
      </c>
      <c r="C15" s="129" t="s">
        <v>1421</v>
      </c>
      <c r="D15" s="129" t="s">
        <v>473</v>
      </c>
      <c r="E15" s="129" t="s">
        <v>474</v>
      </c>
      <c r="F15" s="129">
        <v>51433</v>
      </c>
      <c r="G15" s="129" t="s">
        <v>606</v>
      </c>
      <c r="H15" s="129" t="s">
        <v>96</v>
      </c>
      <c r="I15" s="129">
        <v>7.4</v>
      </c>
      <c r="J15" s="130" t="s">
        <v>1422</v>
      </c>
    </row>
    <row r="16" spans="1:10">
      <c r="A16" s="128">
        <f>VLOOKUP(B16,'서비스 Master'!$C$4:$D$62,2,FALSE)</f>
        <v>16</v>
      </c>
      <c r="B16" s="129" t="s">
        <v>612</v>
      </c>
      <c r="C16" s="129" t="s">
        <v>1421</v>
      </c>
      <c r="D16" s="129"/>
      <c r="E16" s="129"/>
      <c r="F16" s="129"/>
      <c r="G16" s="129"/>
      <c r="H16" s="129"/>
      <c r="I16" s="129"/>
      <c r="J16" s="130"/>
    </row>
    <row r="17" spans="1:10">
      <c r="A17" s="128">
        <f>VLOOKUP(B17,'서비스 Master'!$C$4:$D$62,2,FALSE)</f>
        <v>17</v>
      </c>
      <c r="B17" s="129" t="s">
        <v>188</v>
      </c>
      <c r="C17" s="129"/>
      <c r="D17" s="129" t="s">
        <v>626</v>
      </c>
      <c r="E17" s="129" t="s">
        <v>627</v>
      </c>
      <c r="F17" s="129">
        <v>51433</v>
      </c>
      <c r="G17" s="129" t="s">
        <v>628</v>
      </c>
      <c r="H17" s="129" t="s">
        <v>96</v>
      </c>
      <c r="I17" s="129">
        <v>0.3</v>
      </c>
      <c r="J17" s="129"/>
    </row>
    <row r="18" spans="1:10">
      <c r="A18" s="128">
        <f>VLOOKUP(B18,'서비스 Master'!$C$4:$D$62,2,FALSE)</f>
        <v>18</v>
      </c>
      <c r="B18" s="120" t="s">
        <v>635</v>
      </c>
      <c r="C18" s="129" t="s">
        <v>1421</v>
      </c>
      <c r="D18" s="120"/>
      <c r="E18" s="120"/>
      <c r="F18" s="120"/>
      <c r="G18" s="120"/>
      <c r="H18" s="120"/>
      <c r="I18" s="120"/>
      <c r="J18" s="120"/>
    </row>
    <row r="19" spans="1:10">
      <c r="A19" s="128">
        <f>VLOOKUP(B19,'서비스 Master'!$C$4:$D$62,2,FALSE)</f>
        <v>19</v>
      </c>
      <c r="B19" s="120" t="s">
        <v>203</v>
      </c>
      <c r="C19" s="129" t="s">
        <v>1421</v>
      </c>
      <c r="D19" s="120"/>
      <c r="E19" s="120"/>
      <c r="F19" s="120"/>
      <c r="G19" s="120"/>
      <c r="H19" s="120"/>
      <c r="I19" s="120"/>
      <c r="J19" s="120"/>
    </row>
    <row r="20" spans="1:10">
      <c r="A20" s="128">
        <f>VLOOKUP(B20,'서비스 Master'!$C$4:$D$62,2,FALSE)</f>
        <v>20</v>
      </c>
      <c r="B20" s="120" t="s">
        <v>208</v>
      </c>
      <c r="C20" s="120"/>
      <c r="D20" s="130" t="s">
        <v>510</v>
      </c>
      <c r="E20" s="120" t="s">
        <v>511</v>
      </c>
      <c r="F20" s="120">
        <v>1521</v>
      </c>
      <c r="G20" s="120" t="s">
        <v>667</v>
      </c>
      <c r="H20" s="120" t="s">
        <v>120</v>
      </c>
      <c r="I20" s="120">
        <v>11.1</v>
      </c>
      <c r="J20" s="120"/>
    </row>
    <row r="21" spans="1:10">
      <c r="A21" s="128">
        <f>VLOOKUP(B21,'서비스 Master'!$C$4:$D$62,2,FALSE)</f>
        <v>21</v>
      </c>
      <c r="B21" s="120" t="s">
        <v>215</v>
      </c>
      <c r="C21" s="120"/>
      <c r="D21" s="120" t="s">
        <v>473</v>
      </c>
      <c r="E21" s="120" t="s">
        <v>474</v>
      </c>
      <c r="F21" s="120">
        <v>51433</v>
      </c>
      <c r="G21" s="120" t="s">
        <v>675</v>
      </c>
      <c r="H21" s="120" t="s">
        <v>96</v>
      </c>
      <c r="I21" s="120">
        <v>6.2</v>
      </c>
      <c r="J21" s="120"/>
    </row>
    <row r="22" spans="1:10">
      <c r="A22" s="128">
        <f>VLOOKUP(B22,'서비스 Master'!$C$4:$D$62,2,FALSE)</f>
        <v>22</v>
      </c>
      <c r="B22" s="120" t="s">
        <v>686</v>
      </c>
      <c r="C22" s="120"/>
      <c r="D22" s="120" t="s">
        <v>691</v>
      </c>
      <c r="E22" s="120" t="s">
        <v>452</v>
      </c>
      <c r="F22" s="120">
        <v>51433</v>
      </c>
      <c r="G22" s="120" t="s">
        <v>692</v>
      </c>
      <c r="H22" s="120" t="s">
        <v>73</v>
      </c>
      <c r="I22" s="120">
        <v>3</v>
      </c>
      <c r="J22" s="120"/>
    </row>
    <row r="23" spans="1:10">
      <c r="A23" s="128">
        <f>VLOOKUP(B23,'서비스 Master'!$C$4:$D$62,2,FALSE)</f>
        <v>23</v>
      </c>
      <c r="B23" s="120" t="s">
        <v>225</v>
      </c>
      <c r="C23" s="120"/>
      <c r="D23" s="120" t="s">
        <v>703</v>
      </c>
      <c r="E23" s="120" t="s">
        <v>704</v>
      </c>
      <c r="F23" s="120">
        <v>1521</v>
      </c>
      <c r="G23" s="120" t="s">
        <v>705</v>
      </c>
      <c r="H23" s="120" t="s">
        <v>368</v>
      </c>
      <c r="I23" s="120">
        <v>106</v>
      </c>
      <c r="J23" s="120"/>
    </row>
    <row r="24" spans="1:10">
      <c r="A24" s="128">
        <f>VLOOKUP(B24,'서비스 Master'!$C$4:$D$62,2,FALSE)</f>
        <v>24</v>
      </c>
      <c r="B24" s="120" t="s">
        <v>232</v>
      </c>
      <c r="C24" s="120"/>
      <c r="D24" s="120" t="s">
        <v>718</v>
      </c>
      <c r="E24" s="120" t="s">
        <v>719</v>
      </c>
      <c r="F24" s="120">
        <v>51433</v>
      </c>
      <c r="G24" s="120" t="s">
        <v>720</v>
      </c>
      <c r="H24" s="120" t="s">
        <v>96</v>
      </c>
      <c r="I24" s="120">
        <v>32.6</v>
      </c>
      <c r="J24" s="120"/>
    </row>
    <row r="25" spans="1:10">
      <c r="A25" s="128">
        <f>VLOOKUP(B25,'서비스 Master'!$C$4:$D$62,2,FALSE)</f>
        <v>25</v>
      </c>
      <c r="B25" s="120" t="s">
        <v>236</v>
      </c>
      <c r="C25" s="120"/>
      <c r="D25" s="120" t="s">
        <v>729</v>
      </c>
      <c r="E25" s="120" t="s">
        <v>730</v>
      </c>
      <c r="F25" s="120">
        <v>1433</v>
      </c>
      <c r="G25" s="120" t="s">
        <v>731</v>
      </c>
      <c r="H25" s="120" t="s">
        <v>235</v>
      </c>
      <c r="I25" s="120">
        <v>2.1</v>
      </c>
      <c r="J25" s="120"/>
    </row>
    <row r="26" spans="1:10">
      <c r="A26" s="128">
        <f>VLOOKUP(B26,'서비스 Master'!$C$4:$D$62,2,FALSE)</f>
        <v>26</v>
      </c>
      <c r="B26" s="120" t="s">
        <v>241</v>
      </c>
      <c r="C26" s="120"/>
      <c r="D26" s="120" t="s">
        <v>741</v>
      </c>
      <c r="E26" s="120" t="s">
        <v>742</v>
      </c>
      <c r="F26" s="120">
        <v>1521</v>
      </c>
      <c r="G26" s="120" t="s">
        <v>743</v>
      </c>
      <c r="H26" s="120" t="s">
        <v>120</v>
      </c>
      <c r="I26" s="129">
        <v>9.5</v>
      </c>
      <c r="J26" s="120"/>
    </row>
    <row r="27" spans="1:10">
      <c r="A27" s="128">
        <f>VLOOKUP(B27,'서비스 Master'!$C$4:$D$62,2,FALSE)</f>
        <v>27</v>
      </c>
      <c r="B27" s="120" t="s">
        <v>759</v>
      </c>
      <c r="C27" s="120"/>
      <c r="D27" s="120" t="s">
        <v>451</v>
      </c>
      <c r="E27" s="120" t="s">
        <v>452</v>
      </c>
      <c r="F27" s="120">
        <v>51433</v>
      </c>
      <c r="G27" s="120" t="s">
        <v>762</v>
      </c>
      <c r="H27" s="120" t="s">
        <v>73</v>
      </c>
      <c r="I27" s="120">
        <v>4.2</v>
      </c>
      <c r="J27" s="120"/>
    </row>
    <row r="28" spans="1:10">
      <c r="A28" s="128">
        <f>VLOOKUP(B28,'서비스 Master'!$C$4:$D$62,2,FALSE)</f>
        <v>28</v>
      </c>
      <c r="B28" s="120" t="s">
        <v>251</v>
      </c>
      <c r="C28" s="120"/>
      <c r="D28" s="120" t="s">
        <v>473</v>
      </c>
      <c r="E28" s="120" t="s">
        <v>474</v>
      </c>
      <c r="F28" s="120">
        <v>51433</v>
      </c>
      <c r="G28" s="120" t="s">
        <v>1423</v>
      </c>
      <c r="H28" s="120" t="s">
        <v>96</v>
      </c>
      <c r="I28" s="120">
        <v>0.6</v>
      </c>
      <c r="J28" s="120"/>
    </row>
    <row r="29" spans="1:10">
      <c r="A29" s="128">
        <f>VLOOKUP(B29,'서비스 Master'!$C$4:$D$62,2,FALSE)</f>
        <v>29</v>
      </c>
      <c r="B29" s="120" t="s">
        <v>256</v>
      </c>
      <c r="C29" s="129"/>
      <c r="D29" s="120" t="s">
        <v>473</v>
      </c>
      <c r="E29" s="120" t="s">
        <v>474</v>
      </c>
      <c r="F29" s="120">
        <v>51433</v>
      </c>
      <c r="G29" s="120" t="s">
        <v>786</v>
      </c>
      <c r="H29" s="120" t="s">
        <v>96</v>
      </c>
      <c r="I29" s="120">
        <v>41.5</v>
      </c>
      <c r="J29" s="120"/>
    </row>
    <row r="30" spans="1:10">
      <c r="A30" s="128">
        <f>VLOOKUP(B30,'서비스 Master'!$C$4:$D$62,2,FALSE)</f>
        <v>30</v>
      </c>
      <c r="B30" s="120" t="s">
        <v>800</v>
      </c>
      <c r="C30" s="129"/>
      <c r="D30" s="120" t="s">
        <v>801</v>
      </c>
      <c r="E30" s="120" t="s">
        <v>802</v>
      </c>
      <c r="F30" s="120">
        <v>33817</v>
      </c>
      <c r="G30" s="120" t="s">
        <v>803</v>
      </c>
      <c r="H30" s="120" t="s">
        <v>96</v>
      </c>
      <c r="I30" s="120">
        <v>3.2</v>
      </c>
      <c r="J30" s="120"/>
    </row>
    <row r="31" spans="1:10">
      <c r="A31" s="128">
        <f>VLOOKUP(B31,'서비스 Master'!$C$4:$D$62,2,FALSE)</f>
        <v>31</v>
      </c>
      <c r="B31" s="120" t="s">
        <v>266</v>
      </c>
      <c r="C31" s="129"/>
      <c r="D31" s="120" t="s">
        <v>473</v>
      </c>
      <c r="E31" s="120" t="s">
        <v>474</v>
      </c>
      <c r="F31" s="120">
        <v>51433</v>
      </c>
      <c r="G31" s="120" t="s">
        <v>805</v>
      </c>
      <c r="H31" s="120" t="s">
        <v>96</v>
      </c>
      <c r="I31" s="120">
        <v>6.1</v>
      </c>
      <c r="J31" s="120"/>
    </row>
    <row r="32" spans="1:10">
      <c r="A32" s="128">
        <f>VLOOKUP(B32,'서비스 Master'!$C$4:$D$62,2,FALSE)</f>
        <v>32</v>
      </c>
      <c r="B32" s="120" t="s">
        <v>273</v>
      </c>
      <c r="C32" s="129"/>
      <c r="D32" s="120" t="s">
        <v>473</v>
      </c>
      <c r="E32" s="120" t="s">
        <v>474</v>
      </c>
      <c r="F32" s="120">
        <v>51433</v>
      </c>
      <c r="G32" s="120" t="s">
        <v>814</v>
      </c>
      <c r="H32" s="120" t="s">
        <v>96</v>
      </c>
      <c r="I32" s="120">
        <v>7.7</v>
      </c>
      <c r="J32" s="120"/>
    </row>
    <row r="33" spans="1:10">
      <c r="A33" s="128">
        <f>VLOOKUP(B33,'서비스 Master'!$C$4:$D$62,2,FALSE)</f>
        <v>33</v>
      </c>
      <c r="B33" s="129" t="s">
        <v>280</v>
      </c>
      <c r="C33" s="129"/>
      <c r="D33" s="129" t="s">
        <v>473</v>
      </c>
      <c r="E33" s="129" t="s">
        <v>474</v>
      </c>
      <c r="F33" s="129">
        <v>51433</v>
      </c>
      <c r="G33" s="129" t="s">
        <v>826</v>
      </c>
      <c r="H33" s="129" t="s">
        <v>96</v>
      </c>
      <c r="I33" s="129">
        <v>22.3</v>
      </c>
      <c r="J33" s="129"/>
    </row>
    <row r="34" spans="1:10">
      <c r="A34" s="128">
        <f>VLOOKUP(B34,'서비스 Master'!$C$4:$D$62,2,FALSE)</f>
        <v>35</v>
      </c>
      <c r="B34" s="129" t="s">
        <v>290</v>
      </c>
      <c r="C34" s="129"/>
      <c r="D34" s="129" t="s">
        <v>473</v>
      </c>
      <c r="E34" s="129" t="s">
        <v>474</v>
      </c>
      <c r="F34" s="129">
        <v>51433</v>
      </c>
      <c r="G34" s="129" t="s">
        <v>840</v>
      </c>
      <c r="H34" s="129" t="s">
        <v>96</v>
      </c>
      <c r="I34" s="129">
        <v>6.4</v>
      </c>
      <c r="J34" s="129"/>
    </row>
    <row r="35" spans="1:10">
      <c r="A35" s="128">
        <f>VLOOKUP(B35,'서비스 Master'!$C$4:$D$62,2,FALSE)</f>
        <v>36</v>
      </c>
      <c r="B35" s="120" t="s">
        <v>295</v>
      </c>
      <c r="C35" s="129"/>
      <c r="D35" s="120" t="s">
        <v>451</v>
      </c>
      <c r="E35" s="120" t="s">
        <v>452</v>
      </c>
      <c r="F35" s="120">
        <v>51433</v>
      </c>
      <c r="G35" s="120" t="s">
        <v>849</v>
      </c>
      <c r="H35" s="120" t="s">
        <v>73</v>
      </c>
      <c r="I35" s="120">
        <v>2.8</v>
      </c>
      <c r="J35" s="120"/>
    </row>
    <row r="36" spans="1:10">
      <c r="A36" s="128">
        <f>VLOOKUP(B36,'서비스 Master'!$C$4:$D$62,2,FALSE)</f>
        <v>37</v>
      </c>
      <c r="B36" s="120" t="s">
        <v>301</v>
      </c>
      <c r="C36" s="129"/>
      <c r="D36" s="120" t="s">
        <v>473</v>
      </c>
      <c r="E36" s="120" t="s">
        <v>474</v>
      </c>
      <c r="F36" s="120">
        <v>51433</v>
      </c>
      <c r="G36" s="120" t="s">
        <v>859</v>
      </c>
      <c r="H36" s="120" t="s">
        <v>96</v>
      </c>
      <c r="I36" s="120">
        <v>29.5</v>
      </c>
      <c r="J36" s="120"/>
    </row>
    <row r="37" spans="1:10">
      <c r="A37" s="128">
        <f>VLOOKUP(B37,'서비스 Master'!$C$4:$D$62,2,FALSE)</f>
        <v>39</v>
      </c>
      <c r="B37" s="120" t="s">
        <v>311</v>
      </c>
      <c r="C37" s="129"/>
      <c r="D37" s="120" t="s">
        <v>451</v>
      </c>
      <c r="E37" s="120" t="s">
        <v>452</v>
      </c>
      <c r="F37" s="120">
        <v>51433</v>
      </c>
      <c r="G37" s="120" t="s">
        <v>868</v>
      </c>
      <c r="H37" s="120" t="s">
        <v>73</v>
      </c>
      <c r="I37" s="120">
        <v>22</v>
      </c>
      <c r="J37" s="120"/>
    </row>
    <row r="38" spans="1:10">
      <c r="A38" s="128">
        <f>VLOOKUP(B38,'서비스 Master'!$C$4:$D$62,2,FALSE)</f>
        <v>40</v>
      </c>
      <c r="B38" s="120" t="s">
        <v>319</v>
      </c>
      <c r="C38" s="129"/>
      <c r="D38" s="120" t="s">
        <v>626</v>
      </c>
      <c r="E38" s="120" t="s">
        <v>627</v>
      </c>
      <c r="F38" s="120">
        <v>51433</v>
      </c>
      <c r="G38" s="120" t="s">
        <v>889</v>
      </c>
      <c r="H38" s="120" t="s">
        <v>96</v>
      </c>
      <c r="I38" s="120">
        <v>31.8</v>
      </c>
      <c r="J38" s="120"/>
    </row>
    <row r="39" spans="1:10">
      <c r="A39" s="128">
        <f>VLOOKUP(B39,'서비스 Master'!$C$4:$D$62,2,FALSE)</f>
        <v>41</v>
      </c>
      <c r="B39" s="120" t="s">
        <v>904</v>
      </c>
      <c r="C39" s="129"/>
      <c r="D39" s="120" t="s">
        <v>451</v>
      </c>
      <c r="E39" s="120" t="s">
        <v>452</v>
      </c>
      <c r="F39" s="120">
        <v>51433</v>
      </c>
      <c r="G39" s="120" t="s">
        <v>909</v>
      </c>
      <c r="H39" s="120" t="s">
        <v>73</v>
      </c>
      <c r="I39" s="120">
        <v>287.39999999999998</v>
      </c>
      <c r="J39" s="120"/>
    </row>
    <row r="40" spans="1:10">
      <c r="A40" s="128">
        <f>VLOOKUP(B40,'서비스 Master'!$C$4:$D$62,2,FALSE)</f>
        <v>43</v>
      </c>
      <c r="B40" s="120" t="s">
        <v>332</v>
      </c>
      <c r="C40" s="120"/>
      <c r="D40" s="120" t="s">
        <v>920</v>
      </c>
      <c r="E40" s="120" t="s">
        <v>921</v>
      </c>
      <c r="F40" s="120">
        <v>1433</v>
      </c>
      <c r="G40" s="120" t="s">
        <v>922</v>
      </c>
      <c r="H40" s="120" t="s">
        <v>288</v>
      </c>
      <c r="I40" s="120">
        <v>0.8</v>
      </c>
      <c r="J40" s="120"/>
    </row>
    <row r="41" spans="1:10">
      <c r="A41" s="128">
        <f>VLOOKUP(B41,'서비스 Master'!$C$4:$D$62,2,FALSE)</f>
        <v>44</v>
      </c>
      <c r="B41" s="120" t="s">
        <v>337</v>
      </c>
      <c r="C41" s="120"/>
      <c r="D41" s="120" t="s">
        <v>1424</v>
      </c>
      <c r="E41" s="120" t="s">
        <v>1425</v>
      </c>
      <c r="F41" s="120">
        <v>1521</v>
      </c>
      <c r="G41" s="120" t="s">
        <v>705</v>
      </c>
      <c r="H41" s="120" t="s">
        <v>120</v>
      </c>
      <c r="I41" s="120"/>
      <c r="J41" s="120" t="s">
        <v>1426</v>
      </c>
    </row>
    <row r="42" spans="1:10">
      <c r="A42" s="128">
        <f>VLOOKUP(B42,'서비스 Master'!$C$4:$D$62,2,FALSE)</f>
        <v>45</v>
      </c>
      <c r="B42" s="120" t="s">
        <v>340</v>
      </c>
      <c r="C42" s="120"/>
      <c r="D42" s="120" t="s">
        <v>741</v>
      </c>
      <c r="E42" s="120" t="s">
        <v>742</v>
      </c>
      <c r="F42" s="120">
        <v>1521</v>
      </c>
      <c r="G42" s="120" t="s">
        <v>743</v>
      </c>
      <c r="H42" s="120" t="s">
        <v>120</v>
      </c>
      <c r="I42" s="120">
        <v>4</v>
      </c>
      <c r="J42" s="120"/>
    </row>
    <row r="43" spans="1:10">
      <c r="A43" s="128">
        <f>VLOOKUP(B43,'서비스 Master'!$C$4:$D$62,2,FALSE)</f>
        <v>46</v>
      </c>
      <c r="B43" s="120" t="s">
        <v>343</v>
      </c>
      <c r="C43" s="120"/>
      <c r="D43" s="120" t="s">
        <v>939</v>
      </c>
      <c r="E43" s="120" t="s">
        <v>940</v>
      </c>
      <c r="F43" s="120">
        <v>1433</v>
      </c>
      <c r="G43" s="120" t="s">
        <v>1427</v>
      </c>
      <c r="H43" s="120" t="s">
        <v>288</v>
      </c>
      <c r="I43" s="120">
        <v>11.3</v>
      </c>
      <c r="J43" s="120"/>
    </row>
    <row r="44" spans="1:10">
      <c r="A44" s="128">
        <f>VLOOKUP(B44,'서비스 Master'!$C$4:$D$62,2,FALSE)</f>
        <v>47</v>
      </c>
      <c r="B44" s="120" t="s">
        <v>351</v>
      </c>
      <c r="C44" s="120"/>
      <c r="D44" s="120" t="s">
        <v>718</v>
      </c>
      <c r="E44" s="120" t="s">
        <v>719</v>
      </c>
      <c r="F44" s="120">
        <v>51433</v>
      </c>
      <c r="G44" s="120" t="s">
        <v>351</v>
      </c>
      <c r="H44" s="120" t="s">
        <v>96</v>
      </c>
      <c r="I44" s="120">
        <v>0.1</v>
      </c>
      <c r="J44" s="120"/>
    </row>
    <row r="45" spans="1:10">
      <c r="A45" s="128">
        <f>VLOOKUP(B45,'서비스 Master'!$C$4:$D$62,2,FALSE)</f>
        <v>48</v>
      </c>
      <c r="B45" s="120" t="s">
        <v>357</v>
      </c>
      <c r="C45" s="120"/>
      <c r="D45" s="120" t="s">
        <v>473</v>
      </c>
      <c r="E45" s="120" t="s">
        <v>474</v>
      </c>
      <c r="F45" s="120">
        <v>51433</v>
      </c>
      <c r="G45" s="120" t="s">
        <v>965</v>
      </c>
      <c r="H45" s="120" t="s">
        <v>96</v>
      </c>
      <c r="I45" s="120">
        <v>43.5</v>
      </c>
      <c r="J45" s="120"/>
    </row>
    <row r="46" spans="1:10">
      <c r="A46" s="128">
        <f>VLOOKUP(B46,'서비스 Master'!$C$4:$D$62,2,FALSE)</f>
        <v>49</v>
      </c>
      <c r="B46" s="120" t="s">
        <v>361</v>
      </c>
      <c r="C46" s="120"/>
      <c r="D46" s="120" t="s">
        <v>980</v>
      </c>
      <c r="E46" s="120" t="s">
        <v>981</v>
      </c>
      <c r="F46" s="131">
        <v>1527</v>
      </c>
      <c r="G46" s="120" t="s">
        <v>982</v>
      </c>
      <c r="H46" s="120" t="s">
        <v>977</v>
      </c>
      <c r="I46" s="120">
        <v>2350</v>
      </c>
      <c r="J46" s="120"/>
    </row>
    <row r="47" spans="1:10">
      <c r="A47" s="128">
        <f>VLOOKUP(B47,'서비스 Master'!$C$4:$D$62,2,FALSE)</f>
        <v>49</v>
      </c>
      <c r="B47" s="120" t="s">
        <v>361</v>
      </c>
      <c r="C47" s="120"/>
      <c r="D47" s="120" t="s">
        <v>984</v>
      </c>
      <c r="E47" s="120" t="s">
        <v>985</v>
      </c>
      <c r="F47" s="131">
        <v>1527</v>
      </c>
      <c r="G47" s="120" t="s">
        <v>982</v>
      </c>
      <c r="H47" s="120" t="s">
        <v>977</v>
      </c>
      <c r="I47" s="120">
        <v>2350</v>
      </c>
      <c r="J47" s="120"/>
    </row>
    <row r="48" spans="1:10">
      <c r="A48" s="128">
        <f>VLOOKUP(B48,'서비스 Master'!$C$4:$D$62,2,FALSE)</f>
        <v>50</v>
      </c>
      <c r="B48" s="120" t="s">
        <v>370</v>
      </c>
      <c r="C48" s="120"/>
      <c r="D48" s="120" t="s">
        <v>997</v>
      </c>
      <c r="E48" s="120" t="s">
        <v>998</v>
      </c>
      <c r="F48" s="131">
        <v>1521</v>
      </c>
      <c r="G48" s="120" t="s">
        <v>999</v>
      </c>
      <c r="H48" s="120" t="s">
        <v>977</v>
      </c>
      <c r="I48" s="120">
        <v>118</v>
      </c>
      <c r="J48" s="120"/>
    </row>
    <row r="49" spans="1:10">
      <c r="A49" s="128">
        <f>VLOOKUP(B49,'서비스 Master'!$C$4:$D$62,2,FALSE)</f>
        <v>50</v>
      </c>
      <c r="B49" s="120" t="s">
        <v>370</v>
      </c>
      <c r="C49" s="120"/>
      <c r="D49" s="120" t="s">
        <v>1001</v>
      </c>
      <c r="E49" s="120" t="s">
        <v>1002</v>
      </c>
      <c r="F49" s="131">
        <v>1521</v>
      </c>
      <c r="G49" s="120" t="s">
        <v>999</v>
      </c>
      <c r="H49" s="120" t="s">
        <v>977</v>
      </c>
      <c r="I49" s="120">
        <v>118</v>
      </c>
      <c r="J49" s="120"/>
    </row>
    <row r="50" spans="1:10" ht="38.25">
      <c r="A50" s="128">
        <f>VLOOKUP(B50,'서비스 Master'!$C$4:$D$62,2,FALSE)</f>
        <v>51</v>
      </c>
      <c r="B50" s="120" t="s">
        <v>375</v>
      </c>
      <c r="C50" s="120"/>
      <c r="D50" s="120"/>
      <c r="E50" s="120"/>
      <c r="F50" s="132" t="s">
        <v>1006</v>
      </c>
      <c r="G50" s="120" t="s">
        <v>1007</v>
      </c>
      <c r="H50" s="120" t="s">
        <v>377</v>
      </c>
      <c r="I50" s="120">
        <v>90</v>
      </c>
      <c r="J50" s="120"/>
    </row>
    <row r="51" spans="1:10">
      <c r="A51" s="128">
        <f>VLOOKUP(B51,'서비스 Master'!$C$4:$D$62,2,FALSE)</f>
        <v>52</v>
      </c>
      <c r="B51" s="120" t="s">
        <v>1009</v>
      </c>
      <c r="C51" s="120" t="s">
        <v>1421</v>
      </c>
      <c r="D51" s="120" t="s">
        <v>833</v>
      </c>
      <c r="E51" s="120" t="s">
        <v>452</v>
      </c>
      <c r="F51" s="120"/>
      <c r="G51" s="120" t="s">
        <v>1027</v>
      </c>
      <c r="H51" s="120"/>
      <c r="I51" s="120"/>
      <c r="J51" s="120"/>
    </row>
    <row r="52" spans="1:10">
      <c r="A52" s="128">
        <f>VLOOKUP(B52,'서비스 Master'!$C$4:$D$62,2,FALSE)</f>
        <v>53</v>
      </c>
      <c r="B52" s="120" t="s">
        <v>388</v>
      </c>
      <c r="C52" s="129"/>
      <c r="D52" s="120" t="s">
        <v>1428</v>
      </c>
      <c r="E52" s="120" t="s">
        <v>1429</v>
      </c>
      <c r="F52" s="120"/>
      <c r="G52" s="120"/>
      <c r="H52" s="120" t="s">
        <v>1061</v>
      </c>
      <c r="I52" s="120">
        <v>2576</v>
      </c>
      <c r="J52" s="120"/>
    </row>
    <row r="53" spans="1:10">
      <c r="A53" s="128">
        <f>VLOOKUP(B53,'서비스 Master'!$C$4:$D$62,2,FALSE)</f>
        <v>54</v>
      </c>
      <c r="B53" s="120" t="s">
        <v>1111</v>
      </c>
      <c r="C53" s="129"/>
      <c r="D53" s="120"/>
      <c r="E53" s="120"/>
      <c r="F53" s="120"/>
      <c r="G53" s="120"/>
      <c r="H53" s="120" t="s">
        <v>1061</v>
      </c>
      <c r="I53" s="120">
        <v>82</v>
      </c>
      <c r="J53" s="120"/>
    </row>
    <row r="54" spans="1:10">
      <c r="A54" s="128">
        <f>VLOOKUP(B54,'서비스 Master'!$C$4:$D$62,2,FALSE)</f>
        <v>55</v>
      </c>
      <c r="B54" s="120" t="s">
        <v>1115</v>
      </c>
      <c r="C54" s="129"/>
      <c r="D54" s="120"/>
      <c r="E54" s="120"/>
      <c r="F54" s="120"/>
      <c r="G54" s="120"/>
      <c r="H54" s="120" t="s">
        <v>1061</v>
      </c>
      <c r="I54" s="120">
        <v>4</v>
      </c>
      <c r="J54" s="120"/>
    </row>
  </sheetData>
  <autoFilter ref="B3:J54" xr:uid="{4E45BFE1-C874-4AD5-8A74-3AFD0530072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49952-002C-42A8-B491-405726984897}">
  <sheetPr>
    <tabColor rgb="FF92D050"/>
  </sheetPr>
  <dimension ref="A2:M81"/>
  <sheetViews>
    <sheetView workbookViewId="0">
      <pane ySplit="2" topLeftCell="B15" activePane="bottomLeft" state="frozen"/>
      <selection pane="bottomLeft" activeCell="M16" sqref="M16"/>
    </sheetView>
  </sheetViews>
  <sheetFormatPr defaultRowHeight="16.5"/>
  <cols>
    <col min="1" max="1" width="5.125" style="188" customWidth="1"/>
    <col min="2" max="2" width="20.625" customWidth="1"/>
    <col min="3" max="3" width="21.25" customWidth="1"/>
    <col min="4" max="6" width="13.375" style="179" customWidth="1"/>
    <col min="7" max="7" width="18.875" style="179" bestFit="1" customWidth="1"/>
    <col min="8" max="8" width="65.75" bestFit="1" customWidth="1"/>
    <col min="9" max="9" width="29.75" customWidth="1"/>
    <col min="10" max="10" width="12.25" customWidth="1"/>
    <col min="11" max="11" width="10.875" customWidth="1"/>
    <col min="12" max="12" width="11.875" customWidth="1"/>
    <col min="13" max="13" width="15" customWidth="1"/>
  </cols>
  <sheetData>
    <row r="2" spans="1:13">
      <c r="A2" s="186" t="s">
        <v>14</v>
      </c>
      <c r="B2" s="126" t="s">
        <v>1430</v>
      </c>
      <c r="C2" s="126" t="s">
        <v>1431</v>
      </c>
      <c r="D2" s="180" t="s">
        <v>1432</v>
      </c>
      <c r="E2" s="180" t="s">
        <v>1433</v>
      </c>
      <c r="F2" s="180" t="s">
        <v>1434</v>
      </c>
      <c r="G2" s="180" t="s">
        <v>1435</v>
      </c>
      <c r="H2" s="126" t="s">
        <v>1436</v>
      </c>
      <c r="I2" s="126" t="s">
        <v>1437</v>
      </c>
      <c r="J2" s="126" t="s">
        <v>1333</v>
      </c>
      <c r="K2" s="126" t="s">
        <v>1334</v>
      </c>
      <c r="L2" s="126" t="s">
        <v>1438</v>
      </c>
      <c r="M2" s="126" t="s">
        <v>1439</v>
      </c>
    </row>
    <row r="3" spans="1:13">
      <c r="A3" s="187">
        <f>VLOOKUP(B3,'서비스 Master'!$C$4:$D$62,2,FALSE)</f>
        <v>1</v>
      </c>
      <c r="B3" s="128" t="s">
        <v>58</v>
      </c>
      <c r="C3" s="128" t="s">
        <v>1440</v>
      </c>
      <c r="D3" s="181" t="s">
        <v>1441</v>
      </c>
      <c r="E3" s="181" t="s">
        <v>1442</v>
      </c>
      <c r="F3" s="181" t="s">
        <v>1443</v>
      </c>
      <c r="G3" s="181" t="s">
        <v>1444</v>
      </c>
      <c r="H3" s="128" t="s">
        <v>1347</v>
      </c>
      <c r="I3" s="128" t="s">
        <v>1445</v>
      </c>
      <c r="J3" s="128" t="s">
        <v>1336</v>
      </c>
      <c r="K3" s="128" t="s">
        <v>1343</v>
      </c>
      <c r="L3" s="128"/>
      <c r="M3" s="128" t="s">
        <v>65</v>
      </c>
    </row>
    <row r="4" spans="1:13">
      <c r="A4" s="187">
        <f>VLOOKUP(B4,'서비스 Master'!$C$4:$D$62,2,FALSE)</f>
        <v>2</v>
      </c>
      <c r="B4" s="128" t="s">
        <v>80</v>
      </c>
      <c r="C4" s="128" t="s">
        <v>1446</v>
      </c>
      <c r="D4" s="181" t="s">
        <v>1447</v>
      </c>
      <c r="E4" s="181" t="s">
        <v>1448</v>
      </c>
      <c r="F4" s="181" t="s">
        <v>1443</v>
      </c>
      <c r="G4" s="181" t="s">
        <v>1449</v>
      </c>
      <c r="H4" s="128" t="s">
        <v>1338</v>
      </c>
      <c r="I4" s="128" t="s">
        <v>1450</v>
      </c>
      <c r="J4" s="128" t="s">
        <v>1342</v>
      </c>
      <c r="K4" s="128" t="s">
        <v>1337</v>
      </c>
      <c r="L4" s="128"/>
      <c r="M4" s="128" t="s">
        <v>85</v>
      </c>
    </row>
    <row r="5" spans="1:13">
      <c r="A5" s="190">
        <f>VLOOKUP(B5,'서비스 Master'!$C$4:$D$62,2,FALSE)</f>
        <v>7</v>
      </c>
      <c r="B5" s="189" t="s">
        <v>115</v>
      </c>
      <c r="C5" s="189" t="s">
        <v>1451</v>
      </c>
      <c r="D5" s="191" t="s">
        <v>1452</v>
      </c>
      <c r="E5" s="191" t="s">
        <v>1453</v>
      </c>
      <c r="F5" s="191" t="s">
        <v>1454</v>
      </c>
      <c r="G5" s="191" t="s">
        <v>1444</v>
      </c>
      <c r="H5" s="189" t="s">
        <v>1345</v>
      </c>
      <c r="I5" s="189" t="s">
        <v>1455</v>
      </c>
      <c r="J5" s="189" t="s">
        <v>1339</v>
      </c>
      <c r="K5" s="189" t="s">
        <v>1337</v>
      </c>
      <c r="L5" s="189" t="s">
        <v>100</v>
      </c>
      <c r="M5" s="189" t="s">
        <v>353</v>
      </c>
    </row>
    <row r="6" spans="1:13">
      <c r="A6" s="187">
        <f>VLOOKUP(B6,'서비스 Master'!$C$4:$D$62,2,FALSE)</f>
        <v>11</v>
      </c>
      <c r="B6" s="128" t="s">
        <v>148</v>
      </c>
      <c r="C6" s="128" t="s">
        <v>1456</v>
      </c>
      <c r="D6" s="181" t="s">
        <v>1457</v>
      </c>
      <c r="E6" s="181" t="s">
        <v>1458</v>
      </c>
      <c r="F6" s="181" t="s">
        <v>1443</v>
      </c>
      <c r="G6" s="181" t="s">
        <v>1444</v>
      </c>
      <c r="H6" s="128" t="s">
        <v>1346</v>
      </c>
      <c r="I6" s="128" t="s">
        <v>1459</v>
      </c>
      <c r="J6" s="128" t="s">
        <v>1339</v>
      </c>
      <c r="K6" s="128" t="s">
        <v>1337</v>
      </c>
      <c r="L6" s="128" t="s">
        <v>100</v>
      </c>
      <c r="M6" s="128" t="s">
        <v>150</v>
      </c>
    </row>
    <row r="7" spans="1:13">
      <c r="A7" s="187">
        <f>VLOOKUP(B7,'서비스 Master'!$C$4:$D$62,2,FALSE)</f>
        <v>11</v>
      </c>
      <c r="B7" s="128" t="s">
        <v>148</v>
      </c>
      <c r="C7" s="128" t="s">
        <v>1460</v>
      </c>
      <c r="D7" s="181" t="s">
        <v>1461</v>
      </c>
      <c r="E7" s="181" t="s">
        <v>1458</v>
      </c>
      <c r="F7" s="181" t="s">
        <v>1443</v>
      </c>
      <c r="G7" s="181" t="s">
        <v>1444</v>
      </c>
      <c r="H7" s="128" t="s">
        <v>1346</v>
      </c>
      <c r="I7" s="128" t="s">
        <v>1462</v>
      </c>
      <c r="J7" s="128" t="s">
        <v>1339</v>
      </c>
      <c r="K7" s="128" t="s">
        <v>1337</v>
      </c>
      <c r="L7" s="128" t="s">
        <v>100</v>
      </c>
      <c r="M7" s="128" t="s">
        <v>150</v>
      </c>
    </row>
    <row r="8" spans="1:13">
      <c r="A8" s="190">
        <f>VLOOKUP(B8,'서비스 Master'!$C$4:$D$62,2,FALSE)</f>
        <v>11</v>
      </c>
      <c r="B8" s="189" t="s">
        <v>148</v>
      </c>
      <c r="C8" s="189" t="s">
        <v>1463</v>
      </c>
      <c r="D8" s="191" t="s">
        <v>1464</v>
      </c>
      <c r="E8" s="191" t="s">
        <v>1465</v>
      </c>
      <c r="F8" s="191" t="s">
        <v>1454</v>
      </c>
      <c r="G8" s="191" t="s">
        <v>1444</v>
      </c>
      <c r="H8" s="189" t="s">
        <v>1338</v>
      </c>
      <c r="I8" s="189" t="s">
        <v>1466</v>
      </c>
      <c r="J8" s="189" t="s">
        <v>1336</v>
      </c>
      <c r="K8" s="189" t="s">
        <v>1337</v>
      </c>
      <c r="L8" s="189" t="s">
        <v>100</v>
      </c>
      <c r="M8" s="189" t="s">
        <v>150</v>
      </c>
    </row>
    <row r="9" spans="1:13">
      <c r="A9" s="187">
        <f>VLOOKUP(B9,'서비스 Master'!$C$4:$D$62,2,FALSE)</f>
        <v>11</v>
      </c>
      <c r="B9" s="128" t="s">
        <v>148</v>
      </c>
      <c r="C9" s="128" t="s">
        <v>1467</v>
      </c>
      <c r="D9" s="181" t="s">
        <v>1468</v>
      </c>
      <c r="E9" s="181" t="s">
        <v>1465</v>
      </c>
      <c r="F9" s="181" t="s">
        <v>1443</v>
      </c>
      <c r="G9" s="181" t="s">
        <v>1444</v>
      </c>
      <c r="H9" s="128" t="s">
        <v>1346</v>
      </c>
      <c r="I9" s="128" t="s">
        <v>1469</v>
      </c>
      <c r="J9" s="128" t="s">
        <v>1336</v>
      </c>
      <c r="K9" s="128" t="s">
        <v>1337</v>
      </c>
      <c r="L9" s="128" t="s">
        <v>100</v>
      </c>
      <c r="M9" s="128" t="s">
        <v>150</v>
      </c>
    </row>
    <row r="10" spans="1:13">
      <c r="A10" s="187">
        <f>VLOOKUP(B10,'서비스 Master'!$C$4:$D$62,2,FALSE)</f>
        <v>11</v>
      </c>
      <c r="B10" s="128" t="s">
        <v>148</v>
      </c>
      <c r="C10" s="128" t="s">
        <v>1470</v>
      </c>
      <c r="D10" s="181" t="s">
        <v>1471</v>
      </c>
      <c r="E10" s="181" t="s">
        <v>1472</v>
      </c>
      <c r="F10" s="181" t="s">
        <v>1443</v>
      </c>
      <c r="G10" s="181" t="s">
        <v>1444</v>
      </c>
      <c r="H10" s="128" t="s">
        <v>1341</v>
      </c>
      <c r="I10" s="128" t="s">
        <v>1473</v>
      </c>
      <c r="J10" s="128" t="s">
        <v>1336</v>
      </c>
      <c r="K10" s="128" t="s">
        <v>1337</v>
      </c>
      <c r="L10" s="128" t="s">
        <v>100</v>
      </c>
      <c r="M10" s="128" t="s">
        <v>150</v>
      </c>
    </row>
    <row r="11" spans="1:13">
      <c r="A11" s="187">
        <f>VLOOKUP(B11,'서비스 Master'!$C$4:$D$62,2,FALSE)</f>
        <v>13</v>
      </c>
      <c r="B11" s="128" t="s">
        <v>163</v>
      </c>
      <c r="C11" s="128" t="s">
        <v>1474</v>
      </c>
      <c r="D11" s="181" t="s">
        <v>1475</v>
      </c>
      <c r="E11" s="181" t="s">
        <v>1476</v>
      </c>
      <c r="F11" s="181" t="s">
        <v>1443</v>
      </c>
      <c r="G11" s="181" t="s">
        <v>1449</v>
      </c>
      <c r="H11" s="128" t="s">
        <v>1341</v>
      </c>
      <c r="I11" s="128" t="s">
        <v>1477</v>
      </c>
      <c r="J11" s="128" t="s">
        <v>1339</v>
      </c>
      <c r="K11" s="128" t="s">
        <v>1337</v>
      </c>
      <c r="L11" s="128" t="s">
        <v>100</v>
      </c>
      <c r="M11" s="128" t="s">
        <v>165</v>
      </c>
    </row>
    <row r="12" spans="1:13">
      <c r="A12" s="187">
        <f>VLOOKUP(B12,'서비스 Master'!$C$4:$D$62,2,FALSE)</f>
        <v>13</v>
      </c>
      <c r="B12" s="128" t="s">
        <v>163</v>
      </c>
      <c r="C12" s="128" t="s">
        <v>1478</v>
      </c>
      <c r="D12" s="181" t="s">
        <v>1479</v>
      </c>
      <c r="E12" s="181" t="s">
        <v>1458</v>
      </c>
      <c r="F12" s="181" t="s">
        <v>1443</v>
      </c>
      <c r="G12" s="181" t="s">
        <v>1449</v>
      </c>
      <c r="H12" s="128" t="s">
        <v>1338</v>
      </c>
      <c r="I12" s="128" t="s">
        <v>1480</v>
      </c>
      <c r="J12" s="128" t="s">
        <v>1339</v>
      </c>
      <c r="K12" s="128" t="s">
        <v>1337</v>
      </c>
      <c r="L12" s="128" t="s">
        <v>100</v>
      </c>
      <c r="M12" s="128" t="s">
        <v>165</v>
      </c>
    </row>
    <row r="13" spans="1:13">
      <c r="A13" s="187">
        <f>VLOOKUP(B13,'서비스 Master'!$C$4:$D$62,2,FALSE)</f>
        <v>14</v>
      </c>
      <c r="B13" s="128" t="s">
        <v>171</v>
      </c>
      <c r="C13" s="128" t="s">
        <v>1481</v>
      </c>
      <c r="D13" s="181" t="s">
        <v>1482</v>
      </c>
      <c r="E13" s="181" t="s">
        <v>1458</v>
      </c>
      <c r="F13" s="181" t="s">
        <v>1443</v>
      </c>
      <c r="G13" s="181" t="s">
        <v>1444</v>
      </c>
      <c r="H13" s="128" t="s">
        <v>1346</v>
      </c>
      <c r="I13" s="128" t="s">
        <v>1483</v>
      </c>
      <c r="J13" s="128" t="s">
        <v>1336</v>
      </c>
      <c r="K13" s="128" t="s">
        <v>1337</v>
      </c>
      <c r="L13" s="128" t="s">
        <v>100</v>
      </c>
      <c r="M13" s="128" t="s">
        <v>173</v>
      </c>
    </row>
    <row r="14" spans="1:13">
      <c r="A14" s="187">
        <f>VLOOKUP(B14,'서비스 Master'!$C$4:$D$62,2,FALSE)</f>
        <v>14</v>
      </c>
      <c r="B14" s="128" t="s">
        <v>171</v>
      </c>
      <c r="C14" s="128" t="s">
        <v>1484</v>
      </c>
      <c r="D14" s="181" t="s">
        <v>1485</v>
      </c>
      <c r="E14" s="181" t="s">
        <v>1458</v>
      </c>
      <c r="F14" s="181" t="s">
        <v>1443</v>
      </c>
      <c r="G14" s="181" t="s">
        <v>1444</v>
      </c>
      <c r="H14" s="128" t="s">
        <v>1346</v>
      </c>
      <c r="I14" s="128" t="s">
        <v>1486</v>
      </c>
      <c r="J14" s="128" t="s">
        <v>1336</v>
      </c>
      <c r="K14" s="128" t="s">
        <v>1337</v>
      </c>
      <c r="L14" s="128" t="s">
        <v>100</v>
      </c>
      <c r="M14" s="128" t="s">
        <v>173</v>
      </c>
    </row>
    <row r="15" spans="1:13">
      <c r="A15" s="187">
        <f>VLOOKUP(B15,'서비스 Master'!$C$4:$D$62,2,FALSE)</f>
        <v>17</v>
      </c>
      <c r="B15" s="128" t="s">
        <v>188</v>
      </c>
      <c r="C15" s="128" t="s">
        <v>1487</v>
      </c>
      <c r="D15" s="181" t="s">
        <v>1488</v>
      </c>
      <c r="E15" s="181" t="s">
        <v>1458</v>
      </c>
      <c r="F15" s="181" t="s">
        <v>1443</v>
      </c>
      <c r="G15" s="181" t="s">
        <v>1449</v>
      </c>
      <c r="H15" s="128" t="s">
        <v>1338</v>
      </c>
      <c r="I15" s="128" t="s">
        <v>1489</v>
      </c>
      <c r="J15" s="128" t="s">
        <v>1339</v>
      </c>
      <c r="K15" s="128" t="s">
        <v>1337</v>
      </c>
      <c r="L15" s="128" t="s">
        <v>100</v>
      </c>
      <c r="M15" s="128" t="s">
        <v>238</v>
      </c>
    </row>
    <row r="16" spans="1:13">
      <c r="A16" s="190">
        <f>VLOOKUP(B16,'서비스 Master'!$C$4:$D$62,2,FALSE)</f>
        <v>17</v>
      </c>
      <c r="B16" s="189" t="s">
        <v>188</v>
      </c>
      <c r="C16" s="189" t="s">
        <v>1463</v>
      </c>
      <c r="D16" s="191" t="s">
        <v>1490</v>
      </c>
      <c r="E16" s="191" t="s">
        <v>1448</v>
      </c>
      <c r="F16" s="191" t="s">
        <v>1454</v>
      </c>
      <c r="G16" s="191" t="s">
        <v>1444</v>
      </c>
      <c r="H16" s="189" t="s">
        <v>1338</v>
      </c>
      <c r="I16" s="189" t="s">
        <v>1491</v>
      </c>
      <c r="J16" s="189" t="s">
        <v>1336</v>
      </c>
      <c r="K16" s="189" t="s">
        <v>1337</v>
      </c>
      <c r="L16" s="189" t="s">
        <v>100</v>
      </c>
      <c r="M16" s="189" t="s">
        <v>238</v>
      </c>
    </row>
    <row r="17" spans="1:13">
      <c r="A17" s="187">
        <f>VLOOKUP(B17,'서비스 Master'!$C$4:$D$62,2,FALSE)</f>
        <v>17</v>
      </c>
      <c r="B17" s="128" t="s">
        <v>188</v>
      </c>
      <c r="C17" s="128" t="s">
        <v>1492</v>
      </c>
      <c r="D17" s="181" t="s">
        <v>1493</v>
      </c>
      <c r="E17" s="181" t="s">
        <v>1448</v>
      </c>
      <c r="F17" s="181" t="s">
        <v>1443</v>
      </c>
      <c r="G17" s="181" t="s">
        <v>1494</v>
      </c>
      <c r="H17" s="128" t="s">
        <v>1495</v>
      </c>
      <c r="I17" s="184" t="s">
        <v>1496</v>
      </c>
      <c r="J17" s="128" t="s">
        <v>1336</v>
      </c>
      <c r="K17" s="128" t="s">
        <v>1337</v>
      </c>
      <c r="L17" s="128" t="s">
        <v>100</v>
      </c>
      <c r="M17" s="128" t="s">
        <v>238</v>
      </c>
    </row>
    <row r="18" spans="1:13">
      <c r="A18" s="190">
        <f>VLOOKUP(B18,'서비스 Master'!$C$4:$D$62,2,FALSE)</f>
        <v>20</v>
      </c>
      <c r="B18" s="189" t="s">
        <v>208</v>
      </c>
      <c r="C18" s="189" t="s">
        <v>1497</v>
      </c>
      <c r="D18" s="191" t="s">
        <v>1498</v>
      </c>
      <c r="E18" s="191" t="s">
        <v>1499</v>
      </c>
      <c r="F18" s="191" t="s">
        <v>1454</v>
      </c>
      <c r="G18" s="191" t="s">
        <v>1444</v>
      </c>
      <c r="H18" s="189" t="s">
        <v>1345</v>
      </c>
      <c r="I18" s="192" t="s">
        <v>1496</v>
      </c>
      <c r="J18" s="189" t="s">
        <v>1339</v>
      </c>
      <c r="K18" s="189" t="s">
        <v>1337</v>
      </c>
      <c r="L18" s="189"/>
      <c r="M18" s="189" t="s">
        <v>210</v>
      </c>
    </row>
    <row r="19" spans="1:13">
      <c r="A19" s="190">
        <f>VLOOKUP(B19,'서비스 Master'!$C$4:$D$62,2,FALSE)</f>
        <v>20</v>
      </c>
      <c r="B19" s="189" t="s">
        <v>208</v>
      </c>
      <c r="C19" s="189" t="s">
        <v>1500</v>
      </c>
      <c r="D19" s="191" t="s">
        <v>1501</v>
      </c>
      <c r="E19" s="191" t="s">
        <v>1453</v>
      </c>
      <c r="F19" s="191" t="s">
        <v>1454</v>
      </c>
      <c r="G19" s="191" t="s">
        <v>1444</v>
      </c>
      <c r="H19" s="189" t="s">
        <v>1345</v>
      </c>
      <c r="I19" s="192" t="s">
        <v>1496</v>
      </c>
      <c r="J19" s="189" t="s">
        <v>1339</v>
      </c>
      <c r="K19" s="189" t="s">
        <v>1337</v>
      </c>
      <c r="L19" s="189"/>
      <c r="M19" s="189" t="s">
        <v>210</v>
      </c>
    </row>
    <row r="20" spans="1:13">
      <c r="A20" s="187">
        <f>VLOOKUP(B20,'서비스 Master'!$C$4:$D$62,2,FALSE)</f>
        <v>20</v>
      </c>
      <c r="B20" s="128" t="s">
        <v>208</v>
      </c>
      <c r="C20" s="128" t="s">
        <v>1502</v>
      </c>
      <c r="D20" s="181" t="s">
        <v>1503</v>
      </c>
      <c r="E20" s="181" t="s">
        <v>1458</v>
      </c>
      <c r="F20" s="181" t="s">
        <v>1443</v>
      </c>
      <c r="G20" s="181" t="s">
        <v>1444</v>
      </c>
      <c r="H20" s="128" t="s">
        <v>1345</v>
      </c>
      <c r="I20" s="184" t="s">
        <v>1496</v>
      </c>
      <c r="J20" s="128" t="s">
        <v>1339</v>
      </c>
      <c r="K20" s="128" t="s">
        <v>1337</v>
      </c>
      <c r="L20" s="128"/>
      <c r="M20" s="128" t="s">
        <v>210</v>
      </c>
    </row>
    <row r="21" spans="1:13">
      <c r="A21" s="190">
        <f>VLOOKUP(B21,'서비스 Master'!$C$4:$D$62,2,FALSE)</f>
        <v>20</v>
      </c>
      <c r="B21" s="189" t="s">
        <v>208</v>
      </c>
      <c r="C21" s="189" t="s">
        <v>1504</v>
      </c>
      <c r="D21" s="191" t="s">
        <v>1505</v>
      </c>
      <c r="E21" s="191" t="s">
        <v>1499</v>
      </c>
      <c r="F21" s="191" t="s">
        <v>1454</v>
      </c>
      <c r="G21" s="191" t="s">
        <v>1444</v>
      </c>
      <c r="H21" s="189" t="s">
        <v>1345</v>
      </c>
      <c r="I21" s="192" t="s">
        <v>1496</v>
      </c>
      <c r="J21" s="189" t="s">
        <v>1339</v>
      </c>
      <c r="K21" s="189" t="s">
        <v>1337</v>
      </c>
      <c r="L21" s="189"/>
      <c r="M21" s="189" t="s">
        <v>210</v>
      </c>
    </row>
    <row r="22" spans="1:13">
      <c r="A22" s="190">
        <f>VLOOKUP(B22,'서비스 Master'!$C$4:$D$62,2,FALSE)</f>
        <v>20</v>
      </c>
      <c r="B22" s="189" t="s">
        <v>208</v>
      </c>
      <c r="C22" s="189" t="s">
        <v>1451</v>
      </c>
      <c r="D22" s="191" t="s">
        <v>1506</v>
      </c>
      <c r="E22" s="191" t="s">
        <v>1507</v>
      </c>
      <c r="F22" s="191" t="s">
        <v>1454</v>
      </c>
      <c r="G22" s="191" t="s">
        <v>1444</v>
      </c>
      <c r="H22" s="189" t="s">
        <v>1345</v>
      </c>
      <c r="I22" s="192" t="s">
        <v>1496</v>
      </c>
      <c r="J22" s="189" t="s">
        <v>1339</v>
      </c>
      <c r="K22" s="189" t="s">
        <v>1337</v>
      </c>
      <c r="L22" s="189"/>
      <c r="M22" s="189" t="s">
        <v>210</v>
      </c>
    </row>
    <row r="23" spans="1:13">
      <c r="A23" s="187">
        <f>VLOOKUP(B23,'서비스 Master'!$C$4:$D$62,2,FALSE)</f>
        <v>21</v>
      </c>
      <c r="B23" s="128" t="s">
        <v>215</v>
      </c>
      <c r="C23" s="128" t="s">
        <v>1487</v>
      </c>
      <c r="D23" s="181" t="s">
        <v>1508</v>
      </c>
      <c r="E23" s="181" t="s">
        <v>1458</v>
      </c>
      <c r="F23" s="181" t="s">
        <v>1443</v>
      </c>
      <c r="G23" s="181" t="s">
        <v>1449</v>
      </c>
      <c r="H23" s="128" t="s">
        <v>1338</v>
      </c>
      <c r="I23" s="128" t="s">
        <v>1489</v>
      </c>
      <c r="J23" s="128" t="s">
        <v>1339</v>
      </c>
      <c r="K23" s="128" t="s">
        <v>1337</v>
      </c>
      <c r="L23" s="128" t="s">
        <v>100</v>
      </c>
      <c r="M23" s="128" t="s">
        <v>359</v>
      </c>
    </row>
    <row r="24" spans="1:13">
      <c r="A24" s="187">
        <f>VLOOKUP(B24,'서비스 Master'!$C$4:$D$62,2,FALSE)</f>
        <v>21</v>
      </c>
      <c r="B24" s="128" t="s">
        <v>215</v>
      </c>
      <c r="C24" s="128" t="s">
        <v>1509</v>
      </c>
      <c r="D24" s="181" t="s">
        <v>1510</v>
      </c>
      <c r="E24" s="181" t="s">
        <v>1458</v>
      </c>
      <c r="F24" s="181" t="s">
        <v>1443</v>
      </c>
      <c r="G24" s="181" t="s">
        <v>1449</v>
      </c>
      <c r="H24" s="128" t="s">
        <v>1338</v>
      </c>
      <c r="I24" s="128" t="s">
        <v>1511</v>
      </c>
      <c r="J24" s="128" t="s">
        <v>1342</v>
      </c>
      <c r="K24" s="128" t="s">
        <v>1337</v>
      </c>
      <c r="L24" s="128" t="s">
        <v>1512</v>
      </c>
      <c r="M24" s="128" t="s">
        <v>359</v>
      </c>
    </row>
    <row r="25" spans="1:13">
      <c r="A25" s="190">
        <f>VLOOKUP(B25,'서비스 Master'!$C$4:$D$62,2,FALSE)</f>
        <v>22</v>
      </c>
      <c r="B25" s="189" t="s">
        <v>686</v>
      </c>
      <c r="C25" s="189" t="s">
        <v>1463</v>
      </c>
      <c r="D25" s="191" t="s">
        <v>1513</v>
      </c>
      <c r="E25" s="191" t="s">
        <v>1514</v>
      </c>
      <c r="F25" s="191" t="s">
        <v>1454</v>
      </c>
      <c r="G25" s="191" t="s">
        <v>1444</v>
      </c>
      <c r="H25" s="189" t="s">
        <v>1338</v>
      </c>
      <c r="I25" s="189" t="s">
        <v>1491</v>
      </c>
      <c r="J25" s="189" t="s">
        <v>1336</v>
      </c>
      <c r="K25" s="189" t="s">
        <v>1337</v>
      </c>
      <c r="L25" s="189"/>
      <c r="M25" s="189" t="s">
        <v>220</v>
      </c>
    </row>
    <row r="26" spans="1:13">
      <c r="A26" s="187">
        <f>VLOOKUP(B26,'서비스 Master'!$C$4:$D$62,2,FALSE)</f>
        <v>22</v>
      </c>
      <c r="B26" s="128" t="s">
        <v>686</v>
      </c>
      <c r="C26" s="128" t="s">
        <v>1515</v>
      </c>
      <c r="D26" s="181" t="s">
        <v>1461</v>
      </c>
      <c r="E26" s="181" t="s">
        <v>1458</v>
      </c>
      <c r="F26" s="181" t="s">
        <v>1443</v>
      </c>
      <c r="G26" s="181" t="s">
        <v>1444</v>
      </c>
      <c r="H26" s="128" t="s">
        <v>1346</v>
      </c>
      <c r="I26" s="128" t="s">
        <v>1516</v>
      </c>
      <c r="J26" s="128" t="s">
        <v>152</v>
      </c>
      <c r="K26" s="128" t="s">
        <v>1337</v>
      </c>
      <c r="L26" s="128"/>
      <c r="M26" s="128" t="s">
        <v>220</v>
      </c>
    </row>
    <row r="27" spans="1:13">
      <c r="A27" s="190">
        <f>VLOOKUP(B27,'서비스 Master'!$C$4:$D$62,2,FALSE)</f>
        <v>23</v>
      </c>
      <c r="B27" s="189" t="s">
        <v>225</v>
      </c>
      <c r="C27" s="189" t="s">
        <v>1517</v>
      </c>
      <c r="D27" s="191" t="s">
        <v>1518</v>
      </c>
      <c r="E27" s="191" t="s">
        <v>1519</v>
      </c>
      <c r="F27" s="191" t="s">
        <v>1454</v>
      </c>
      <c r="G27" s="191" t="s">
        <v>1444</v>
      </c>
      <c r="H27" s="189" t="s">
        <v>1341</v>
      </c>
      <c r="I27" s="189" t="s">
        <v>1489</v>
      </c>
      <c r="J27" s="189" t="s">
        <v>1339</v>
      </c>
      <c r="K27" s="189" t="s">
        <v>1337</v>
      </c>
      <c r="L27" s="189" t="s">
        <v>100</v>
      </c>
      <c r="M27" s="189" t="s">
        <v>117</v>
      </c>
    </row>
    <row r="28" spans="1:13">
      <c r="A28" s="187">
        <f>VLOOKUP(B28,'서비스 Master'!$C$4:$D$62,2,FALSE)</f>
        <v>24</v>
      </c>
      <c r="B28" s="128" t="s">
        <v>232</v>
      </c>
      <c r="C28" s="128" t="s">
        <v>1492</v>
      </c>
      <c r="D28" s="181" t="s">
        <v>1520</v>
      </c>
      <c r="E28" s="181" t="s">
        <v>1465</v>
      </c>
      <c r="F28" s="181" t="s">
        <v>1443</v>
      </c>
      <c r="G28" s="181" t="s">
        <v>1494</v>
      </c>
      <c r="H28" s="128" t="s">
        <v>1495</v>
      </c>
      <c r="I28" s="128" t="s">
        <v>1521</v>
      </c>
      <c r="J28" s="128" t="s">
        <v>1339</v>
      </c>
      <c r="K28" s="128" t="s">
        <v>1337</v>
      </c>
      <c r="L28" s="128" t="s">
        <v>100</v>
      </c>
      <c r="M28" s="128" t="s">
        <v>190</v>
      </c>
    </row>
    <row r="29" spans="1:13">
      <c r="A29" s="187">
        <f>VLOOKUP(B29,'서비스 Master'!$C$4:$D$62,2,FALSE)</f>
        <v>24</v>
      </c>
      <c r="B29" s="128" t="s">
        <v>232</v>
      </c>
      <c r="C29" s="128" t="s">
        <v>1522</v>
      </c>
      <c r="D29" s="181" t="s">
        <v>1503</v>
      </c>
      <c r="E29" s="181" t="s">
        <v>1523</v>
      </c>
      <c r="F29" s="181" t="s">
        <v>1443</v>
      </c>
      <c r="G29" s="181" t="s">
        <v>1494</v>
      </c>
      <c r="H29" s="128" t="s">
        <v>1341</v>
      </c>
      <c r="I29" s="128" t="s">
        <v>1524</v>
      </c>
      <c r="J29" s="128" t="s">
        <v>1339</v>
      </c>
      <c r="K29" s="128" t="s">
        <v>1337</v>
      </c>
      <c r="L29" s="128" t="s">
        <v>100</v>
      </c>
      <c r="M29" s="128" t="s">
        <v>190</v>
      </c>
    </row>
    <row r="30" spans="1:13">
      <c r="A30" s="187">
        <f>VLOOKUP(B30,'서비스 Master'!$C$4:$D$62,2,FALSE)</f>
        <v>25</v>
      </c>
      <c r="B30" s="128" t="s">
        <v>236</v>
      </c>
      <c r="C30" s="128" t="s">
        <v>1492</v>
      </c>
      <c r="D30" s="181" t="s">
        <v>1520</v>
      </c>
      <c r="E30" s="181" t="s">
        <v>1465</v>
      </c>
      <c r="F30" s="181" t="s">
        <v>1443</v>
      </c>
      <c r="G30" s="181" t="s">
        <v>1494</v>
      </c>
      <c r="H30" s="128" t="s">
        <v>1495</v>
      </c>
      <c r="I30" s="128" t="s">
        <v>1521</v>
      </c>
      <c r="J30" s="128" t="s">
        <v>1339</v>
      </c>
      <c r="K30" s="128" t="s">
        <v>1337</v>
      </c>
      <c r="L30" s="128" t="s">
        <v>100</v>
      </c>
      <c r="M30" s="128" t="s">
        <v>190</v>
      </c>
    </row>
    <row r="31" spans="1:13">
      <c r="A31" s="187">
        <f>VLOOKUP(B31,'서비스 Master'!$C$4:$D$62,2,FALSE)</f>
        <v>25</v>
      </c>
      <c r="B31" s="128" t="s">
        <v>236</v>
      </c>
      <c r="C31" s="128" t="s">
        <v>1522</v>
      </c>
      <c r="D31" s="181" t="s">
        <v>1503</v>
      </c>
      <c r="E31" s="181" t="s">
        <v>1523</v>
      </c>
      <c r="F31" s="181" t="s">
        <v>1443</v>
      </c>
      <c r="G31" s="181" t="s">
        <v>1494</v>
      </c>
      <c r="H31" s="128" t="s">
        <v>1341</v>
      </c>
      <c r="I31" s="128" t="s">
        <v>1524</v>
      </c>
      <c r="J31" s="128" t="s">
        <v>1339</v>
      </c>
      <c r="K31" s="128" t="s">
        <v>1337</v>
      </c>
      <c r="L31" s="128" t="s">
        <v>100</v>
      </c>
      <c r="M31" s="128" t="s">
        <v>190</v>
      </c>
    </row>
    <row r="32" spans="1:13">
      <c r="A32" s="190">
        <f>VLOOKUP(B32,'서비스 Master'!$C$4:$D$62,2,FALSE)</f>
        <v>26</v>
      </c>
      <c r="B32" s="189" t="s">
        <v>241</v>
      </c>
      <c r="C32" s="189" t="s">
        <v>1497</v>
      </c>
      <c r="D32" s="191" t="s">
        <v>1498</v>
      </c>
      <c r="E32" s="191" t="s">
        <v>1499</v>
      </c>
      <c r="F32" s="191" t="s">
        <v>1454</v>
      </c>
      <c r="G32" s="191" t="s">
        <v>1444</v>
      </c>
      <c r="H32" s="189" t="s">
        <v>1345</v>
      </c>
      <c r="I32" s="192" t="s">
        <v>1496</v>
      </c>
      <c r="J32" s="189" t="s">
        <v>1339</v>
      </c>
      <c r="K32" s="189" t="s">
        <v>1337</v>
      </c>
      <c r="L32" s="189"/>
      <c r="M32" s="189" t="s">
        <v>210</v>
      </c>
    </row>
    <row r="33" spans="1:13">
      <c r="A33" s="187">
        <f>VLOOKUP(B33,'서비스 Master'!$C$4:$D$62,2,FALSE)</f>
        <v>26</v>
      </c>
      <c r="B33" s="128" t="s">
        <v>241</v>
      </c>
      <c r="C33" s="128" t="s">
        <v>1502</v>
      </c>
      <c r="D33" s="181" t="s">
        <v>1503</v>
      </c>
      <c r="E33" s="181" t="s">
        <v>1458</v>
      </c>
      <c r="F33" s="181" t="s">
        <v>1443</v>
      </c>
      <c r="G33" s="181" t="s">
        <v>1444</v>
      </c>
      <c r="H33" s="128" t="s">
        <v>1345</v>
      </c>
      <c r="I33" s="184" t="s">
        <v>1496</v>
      </c>
      <c r="J33" s="128" t="s">
        <v>1339</v>
      </c>
      <c r="K33" s="128" t="s">
        <v>1337</v>
      </c>
      <c r="L33" s="128"/>
      <c r="M33" s="128" t="s">
        <v>210</v>
      </c>
    </row>
    <row r="34" spans="1:13">
      <c r="A34" s="190">
        <f>VLOOKUP(B34,'서비스 Master'!$C$4:$D$62,2,FALSE)</f>
        <v>28</v>
      </c>
      <c r="B34" s="189" t="s">
        <v>251</v>
      </c>
      <c r="C34" s="189" t="s">
        <v>1525</v>
      </c>
      <c r="D34" s="191" t="s">
        <v>1526</v>
      </c>
      <c r="E34" s="191" t="s">
        <v>1527</v>
      </c>
      <c r="F34" s="191" t="s">
        <v>1454</v>
      </c>
      <c r="G34" s="191" t="s">
        <v>1444</v>
      </c>
      <c r="H34" s="189" t="s">
        <v>1341</v>
      </c>
      <c r="I34" s="189" t="s">
        <v>1528</v>
      </c>
      <c r="J34" s="189" t="s">
        <v>1336</v>
      </c>
      <c r="K34" s="189" t="s">
        <v>1337</v>
      </c>
      <c r="L34" s="189"/>
      <c r="M34" s="189" t="s">
        <v>253</v>
      </c>
    </row>
    <row r="35" spans="1:13">
      <c r="A35" s="187">
        <f>VLOOKUP(B35,'서비스 Master'!$C$4:$D$62,2,FALSE)</f>
        <v>28</v>
      </c>
      <c r="B35" s="128" t="s">
        <v>251</v>
      </c>
      <c r="C35" s="128" t="s">
        <v>1529</v>
      </c>
      <c r="D35" s="181" t="s">
        <v>1530</v>
      </c>
      <c r="E35" s="181" t="s">
        <v>1531</v>
      </c>
      <c r="F35" s="181" t="s">
        <v>1443</v>
      </c>
      <c r="G35" s="181" t="s">
        <v>1494</v>
      </c>
      <c r="H35" s="128" t="s">
        <v>1345</v>
      </c>
      <c r="I35" s="128" t="s">
        <v>1532</v>
      </c>
      <c r="J35" s="128" t="s">
        <v>1336</v>
      </c>
      <c r="K35" s="128" t="s">
        <v>1337</v>
      </c>
      <c r="L35" s="128"/>
      <c r="M35" s="128" t="s">
        <v>253</v>
      </c>
    </row>
    <row r="36" spans="1:13">
      <c r="A36" s="187">
        <f>VLOOKUP(B36,'서비스 Master'!$C$4:$D$62,2,FALSE)</f>
        <v>28</v>
      </c>
      <c r="B36" s="128" t="s">
        <v>251</v>
      </c>
      <c r="C36" s="128" t="s">
        <v>1533</v>
      </c>
      <c r="D36" s="181" t="s">
        <v>1534</v>
      </c>
      <c r="E36" s="181" t="s">
        <v>1442</v>
      </c>
      <c r="F36" s="181" t="s">
        <v>1443</v>
      </c>
      <c r="G36" s="181" t="s">
        <v>1494</v>
      </c>
      <c r="H36" s="128" t="s">
        <v>1346</v>
      </c>
      <c r="I36" s="128" t="s">
        <v>1535</v>
      </c>
      <c r="J36" s="128" t="s">
        <v>1336</v>
      </c>
      <c r="K36" s="128" t="s">
        <v>1337</v>
      </c>
      <c r="L36" s="128"/>
      <c r="M36" s="128" t="s">
        <v>253</v>
      </c>
    </row>
    <row r="37" spans="1:13">
      <c r="A37" s="187">
        <f>VLOOKUP(B37,'서비스 Master'!$C$4:$D$62,2,FALSE)</f>
        <v>29</v>
      </c>
      <c r="B37" s="128" t="s">
        <v>256</v>
      </c>
      <c r="C37" s="128" t="s">
        <v>1487</v>
      </c>
      <c r="D37" s="181" t="s">
        <v>1536</v>
      </c>
      <c r="E37" s="181" t="s">
        <v>1458</v>
      </c>
      <c r="F37" s="181" t="s">
        <v>1443</v>
      </c>
      <c r="G37" s="181" t="s">
        <v>1449</v>
      </c>
      <c r="H37" s="128" t="s">
        <v>1345</v>
      </c>
      <c r="I37" s="128" t="s">
        <v>1537</v>
      </c>
      <c r="J37" s="128" t="s">
        <v>1339</v>
      </c>
      <c r="K37" s="128" t="s">
        <v>1337</v>
      </c>
      <c r="L37" s="128"/>
      <c r="M37" s="128" t="s">
        <v>258</v>
      </c>
    </row>
    <row r="38" spans="1:13">
      <c r="A38" s="190">
        <f>VLOOKUP(B38,'서비스 Master'!$C$4:$D$62,2,FALSE)</f>
        <v>29</v>
      </c>
      <c r="B38" s="189" t="s">
        <v>256</v>
      </c>
      <c r="C38" s="189" t="s">
        <v>1463</v>
      </c>
      <c r="D38" s="191" t="s">
        <v>1538</v>
      </c>
      <c r="E38" s="191" t="s">
        <v>1476</v>
      </c>
      <c r="F38" s="191" t="s">
        <v>1454</v>
      </c>
      <c r="G38" s="191" t="s">
        <v>1444</v>
      </c>
      <c r="H38" s="189" t="s">
        <v>1338</v>
      </c>
      <c r="I38" s="189" t="s">
        <v>1511</v>
      </c>
      <c r="J38" s="189" t="s">
        <v>1336</v>
      </c>
      <c r="K38" s="189" t="s">
        <v>1337</v>
      </c>
      <c r="L38" s="189"/>
      <c r="M38" s="189" t="s">
        <v>258</v>
      </c>
    </row>
    <row r="39" spans="1:13">
      <c r="A39" s="187">
        <f>VLOOKUP(B39,'서비스 Master'!$C$4:$D$62,2,FALSE)</f>
        <v>29</v>
      </c>
      <c r="B39" s="128" t="s">
        <v>256</v>
      </c>
      <c r="C39" s="128" t="s">
        <v>1539</v>
      </c>
      <c r="D39" s="181"/>
      <c r="E39" s="181" t="s">
        <v>1458</v>
      </c>
      <c r="F39" s="181" t="s">
        <v>1443</v>
      </c>
      <c r="G39" s="181" t="s">
        <v>1444</v>
      </c>
      <c r="H39" s="128" t="s">
        <v>1335</v>
      </c>
      <c r="I39" s="128" t="s">
        <v>1540</v>
      </c>
      <c r="J39" s="128" t="s">
        <v>1336</v>
      </c>
      <c r="K39" s="128" t="s">
        <v>1337</v>
      </c>
      <c r="L39" s="128"/>
      <c r="M39" s="128" t="s">
        <v>258</v>
      </c>
    </row>
    <row r="40" spans="1:13">
      <c r="A40" s="187">
        <f>VLOOKUP(B40,'서비스 Master'!$C$4:$D$62,2,FALSE)</f>
        <v>32</v>
      </c>
      <c r="B40" s="128" t="s">
        <v>273</v>
      </c>
      <c r="C40" t="s">
        <v>1541</v>
      </c>
      <c r="D40" s="181" t="s">
        <v>1542</v>
      </c>
      <c r="E40" s="181" t="s">
        <v>1458</v>
      </c>
      <c r="F40" s="181" t="s">
        <v>1443</v>
      </c>
      <c r="G40" s="181" t="s">
        <v>1444</v>
      </c>
      <c r="H40" s="128" t="s">
        <v>1346</v>
      </c>
      <c r="I40" s="128" t="s">
        <v>1543</v>
      </c>
      <c r="J40" s="128" t="s">
        <v>1339</v>
      </c>
      <c r="K40" s="128" t="s">
        <v>1337</v>
      </c>
      <c r="L40" s="128" t="s">
        <v>100</v>
      </c>
      <c r="M40" s="128" t="s">
        <v>1407</v>
      </c>
    </row>
    <row r="41" spans="1:13">
      <c r="A41" s="187">
        <f>VLOOKUP(B41,'서비스 Master'!$C$4:$D$62,2,FALSE)</f>
        <v>32</v>
      </c>
      <c r="B41" s="128" t="s">
        <v>273</v>
      </c>
      <c r="C41" s="128" t="s">
        <v>1544</v>
      </c>
      <c r="D41" s="181" t="s">
        <v>1461</v>
      </c>
      <c r="E41" s="181" t="s">
        <v>1458</v>
      </c>
      <c r="F41" s="181" t="s">
        <v>1443</v>
      </c>
      <c r="G41" s="181" t="s">
        <v>1444</v>
      </c>
      <c r="H41" s="128" t="s">
        <v>1347</v>
      </c>
      <c r="I41" s="128" t="s">
        <v>1545</v>
      </c>
      <c r="J41" s="128" t="s">
        <v>1339</v>
      </c>
      <c r="K41" s="128" t="s">
        <v>1337</v>
      </c>
      <c r="L41" s="128" t="s">
        <v>100</v>
      </c>
      <c r="M41" s="128" t="s">
        <v>1407</v>
      </c>
    </row>
    <row r="42" spans="1:13">
      <c r="A42" s="187">
        <f>VLOOKUP(B42,'서비스 Master'!$C$4:$D$62,2,FALSE)</f>
        <v>33</v>
      </c>
      <c r="B42" s="128" t="s">
        <v>280</v>
      </c>
      <c r="C42" s="128" t="s">
        <v>1546</v>
      </c>
      <c r="D42" s="181" t="s">
        <v>1547</v>
      </c>
      <c r="E42" s="181" t="s">
        <v>1472</v>
      </c>
      <c r="F42" s="181" t="s">
        <v>1443</v>
      </c>
      <c r="G42" s="181" t="s">
        <v>1494</v>
      </c>
      <c r="H42" s="128" t="s">
        <v>1548</v>
      </c>
      <c r="I42" s="128" t="s">
        <v>1549</v>
      </c>
      <c r="J42" s="128" t="s">
        <v>1336</v>
      </c>
      <c r="K42" s="128" t="s">
        <v>1337</v>
      </c>
      <c r="L42" s="128" t="s">
        <v>100</v>
      </c>
      <c r="M42" s="128" t="s">
        <v>282</v>
      </c>
    </row>
    <row r="43" spans="1:13">
      <c r="A43" s="187">
        <f>VLOOKUP(B43,'서비스 Master'!$C$4:$D$62,2,FALSE)</f>
        <v>33</v>
      </c>
      <c r="B43" s="128" t="s">
        <v>280</v>
      </c>
      <c r="C43" s="128" t="s">
        <v>1550</v>
      </c>
      <c r="D43" s="181" t="s">
        <v>1551</v>
      </c>
      <c r="E43" s="181" t="s">
        <v>1552</v>
      </c>
      <c r="F43" s="181" t="s">
        <v>1443</v>
      </c>
      <c r="G43" s="181" t="s">
        <v>1494</v>
      </c>
      <c r="H43" s="128" t="s">
        <v>1553</v>
      </c>
      <c r="I43" s="128" t="s">
        <v>1554</v>
      </c>
      <c r="J43" s="128" t="s">
        <v>1336</v>
      </c>
      <c r="K43" s="128" t="s">
        <v>1337</v>
      </c>
      <c r="L43" s="128" t="s">
        <v>100</v>
      </c>
      <c r="M43" s="128" t="s">
        <v>282</v>
      </c>
    </row>
    <row r="44" spans="1:13">
      <c r="A44" s="187">
        <f>VLOOKUP(B44,'서비스 Master'!$C$4:$D$62,2,FALSE)</f>
        <v>33</v>
      </c>
      <c r="B44" s="128" t="s">
        <v>280</v>
      </c>
      <c r="C44" s="128" t="s">
        <v>1555</v>
      </c>
      <c r="D44" s="181" t="s">
        <v>1556</v>
      </c>
      <c r="E44" s="181" t="s">
        <v>1448</v>
      </c>
      <c r="F44" s="181" t="s">
        <v>1443</v>
      </c>
      <c r="G44" s="181" t="s">
        <v>1494</v>
      </c>
      <c r="H44" s="128" t="s">
        <v>1557</v>
      </c>
      <c r="I44" s="128" t="s">
        <v>1558</v>
      </c>
      <c r="J44" s="128" t="s">
        <v>1336</v>
      </c>
      <c r="K44" s="128" t="s">
        <v>1337</v>
      </c>
      <c r="L44" s="128" t="s">
        <v>100</v>
      </c>
      <c r="M44" s="128" t="s">
        <v>282</v>
      </c>
    </row>
    <row r="45" spans="1:13">
      <c r="A45" s="190">
        <f>VLOOKUP(B45,'서비스 Master'!$C$4:$D$62,2,FALSE)</f>
        <v>36</v>
      </c>
      <c r="B45" s="189" t="s">
        <v>295</v>
      </c>
      <c r="C45" s="189" t="s">
        <v>1559</v>
      </c>
      <c r="D45" s="191" t="s">
        <v>1560</v>
      </c>
      <c r="E45" s="191" t="s">
        <v>1465</v>
      </c>
      <c r="F45" s="191" t="s">
        <v>1454</v>
      </c>
      <c r="G45" s="191" t="s">
        <v>1444</v>
      </c>
      <c r="H45" s="189" t="s">
        <v>1346</v>
      </c>
      <c r="I45" s="189" t="s">
        <v>1561</v>
      </c>
      <c r="J45" s="189" t="s">
        <v>1339</v>
      </c>
      <c r="K45" s="189" t="s">
        <v>1337</v>
      </c>
      <c r="L45" s="189" t="s">
        <v>100</v>
      </c>
      <c r="M45" s="189" t="s">
        <v>297</v>
      </c>
    </row>
    <row r="46" spans="1:13">
      <c r="A46" s="190">
        <f>VLOOKUP(B46,'서비스 Master'!$C$4:$D$62,2,FALSE)</f>
        <v>36</v>
      </c>
      <c r="B46" s="189" t="s">
        <v>295</v>
      </c>
      <c r="C46" s="189" t="s">
        <v>1562</v>
      </c>
      <c r="D46" s="191" t="s">
        <v>1563</v>
      </c>
      <c r="E46" s="191" t="s">
        <v>1564</v>
      </c>
      <c r="F46" s="191" t="s">
        <v>1454</v>
      </c>
      <c r="G46" s="191" t="s">
        <v>1444</v>
      </c>
      <c r="H46" s="189" t="s">
        <v>1345</v>
      </c>
      <c r="I46" s="189" t="s">
        <v>1565</v>
      </c>
      <c r="J46" s="189" t="s">
        <v>1336</v>
      </c>
      <c r="K46" s="189" t="s">
        <v>1337</v>
      </c>
      <c r="L46" s="189" t="s">
        <v>100</v>
      </c>
      <c r="M46" s="189" t="s">
        <v>297</v>
      </c>
    </row>
    <row r="47" spans="1:13">
      <c r="A47" s="187">
        <f>VLOOKUP(B47,'서비스 Master'!$C$4:$D$62,2,FALSE)</f>
        <v>36</v>
      </c>
      <c r="B47" s="128" t="s">
        <v>295</v>
      </c>
      <c r="C47" s="128" t="s">
        <v>1566</v>
      </c>
      <c r="D47" s="181" t="s">
        <v>1461</v>
      </c>
      <c r="E47" s="181" t="s">
        <v>1458</v>
      </c>
      <c r="F47" s="181" t="s">
        <v>1443</v>
      </c>
      <c r="G47" s="181" t="s">
        <v>1449</v>
      </c>
      <c r="H47" s="128" t="s">
        <v>1345</v>
      </c>
      <c r="I47" s="128" t="s">
        <v>1567</v>
      </c>
      <c r="J47" s="128" t="s">
        <v>1339</v>
      </c>
      <c r="K47" s="128" t="s">
        <v>1337</v>
      </c>
      <c r="L47" s="128" t="s">
        <v>100</v>
      </c>
      <c r="M47" s="128" t="s">
        <v>297</v>
      </c>
    </row>
    <row r="48" spans="1:13">
      <c r="A48" s="187">
        <f>VLOOKUP(B48,'서비스 Master'!$C$4:$D$62,2,FALSE)</f>
        <v>37</v>
      </c>
      <c r="B48" s="128" t="s">
        <v>301</v>
      </c>
      <c r="C48" s="128" t="s">
        <v>1568</v>
      </c>
      <c r="D48" s="181" t="s">
        <v>1569</v>
      </c>
      <c r="E48" s="181" t="s">
        <v>1458</v>
      </c>
      <c r="F48" s="181" t="s">
        <v>1443</v>
      </c>
      <c r="G48" s="181" t="s">
        <v>1444</v>
      </c>
      <c r="H48" s="128" t="s">
        <v>1345</v>
      </c>
      <c r="I48" s="128" t="s">
        <v>1537</v>
      </c>
      <c r="J48" s="128" t="s">
        <v>1342</v>
      </c>
      <c r="K48" s="128" t="s">
        <v>1337</v>
      </c>
      <c r="L48" s="128" t="s">
        <v>1570</v>
      </c>
      <c r="M48" s="128" t="s">
        <v>303</v>
      </c>
    </row>
    <row r="49" spans="1:13">
      <c r="A49" s="187">
        <f>VLOOKUP(B49,'서비스 Master'!$C$4:$D$62,2,FALSE)</f>
        <v>37</v>
      </c>
      <c r="B49" s="128" t="s">
        <v>301</v>
      </c>
      <c r="C49" s="128" t="s">
        <v>1571</v>
      </c>
      <c r="D49" s="181" t="s">
        <v>1503</v>
      </c>
      <c r="E49" s="181" t="s">
        <v>1458</v>
      </c>
      <c r="F49" s="181" t="s">
        <v>1443</v>
      </c>
      <c r="G49" s="181" t="s">
        <v>1444</v>
      </c>
      <c r="H49" s="128" t="s">
        <v>1345</v>
      </c>
      <c r="I49" s="128" t="s">
        <v>1537</v>
      </c>
      <c r="J49" s="128" t="s">
        <v>1342</v>
      </c>
      <c r="K49" s="128" t="s">
        <v>1337</v>
      </c>
      <c r="L49" s="128" t="s">
        <v>1570</v>
      </c>
      <c r="M49" s="128" t="s">
        <v>303</v>
      </c>
    </row>
    <row r="50" spans="1:13">
      <c r="A50" s="190">
        <f>VLOOKUP(B50,'서비스 Master'!$C$4:$D$62,2,FALSE)</f>
        <v>37</v>
      </c>
      <c r="B50" s="189" t="s">
        <v>301</v>
      </c>
      <c r="C50" s="189" t="s">
        <v>1572</v>
      </c>
      <c r="D50" s="191" t="s">
        <v>1573</v>
      </c>
      <c r="E50" s="191" t="s">
        <v>1472</v>
      </c>
      <c r="F50" s="191" t="s">
        <v>1454</v>
      </c>
      <c r="G50" s="191" t="s">
        <v>1444</v>
      </c>
      <c r="H50" s="189" t="s">
        <v>1338</v>
      </c>
      <c r="I50" s="189" t="s">
        <v>1450</v>
      </c>
      <c r="J50" s="189" t="s">
        <v>1336</v>
      </c>
      <c r="K50" s="189" t="s">
        <v>1337</v>
      </c>
      <c r="L50" s="189" t="s">
        <v>100</v>
      </c>
      <c r="M50" s="189" t="s">
        <v>303</v>
      </c>
    </row>
    <row r="51" spans="1:13">
      <c r="A51" s="187">
        <f>VLOOKUP(B51,'서비스 Master'!$C$4:$D$62,2,FALSE)</f>
        <v>39</v>
      </c>
      <c r="B51" s="128" t="s">
        <v>311</v>
      </c>
      <c r="C51" s="128" t="s">
        <v>1562</v>
      </c>
      <c r="D51" s="181" t="s">
        <v>1574</v>
      </c>
      <c r="E51" s="181" t="s">
        <v>1514</v>
      </c>
      <c r="F51" s="181" t="s">
        <v>1443</v>
      </c>
      <c r="G51" s="181" t="s">
        <v>1494</v>
      </c>
      <c r="H51" s="128" t="s">
        <v>1346</v>
      </c>
      <c r="I51" s="128" t="s">
        <v>1575</v>
      </c>
      <c r="J51" s="128" t="s">
        <v>1336</v>
      </c>
      <c r="K51" s="128" t="s">
        <v>1337</v>
      </c>
      <c r="L51" s="128" t="s">
        <v>100</v>
      </c>
      <c r="M51" s="128" t="s">
        <v>313</v>
      </c>
    </row>
    <row r="52" spans="1:13">
      <c r="A52" s="187">
        <f>VLOOKUP(B52,'서비스 Master'!$C$4:$D$62,2,FALSE)</f>
        <v>40</v>
      </c>
      <c r="B52" s="128" t="s">
        <v>319</v>
      </c>
      <c r="C52" s="128" t="s">
        <v>1562</v>
      </c>
      <c r="D52" s="181" t="s">
        <v>1574</v>
      </c>
      <c r="E52" s="181" t="s">
        <v>1514</v>
      </c>
      <c r="F52" s="181" t="s">
        <v>1443</v>
      </c>
      <c r="G52" s="181" t="s">
        <v>1494</v>
      </c>
      <c r="H52" s="128" t="s">
        <v>1346</v>
      </c>
      <c r="I52" s="128" t="s">
        <v>1575</v>
      </c>
      <c r="J52" s="128" t="s">
        <v>1336</v>
      </c>
      <c r="K52" s="128" t="s">
        <v>1337</v>
      </c>
      <c r="L52" s="128" t="s">
        <v>100</v>
      </c>
      <c r="M52" s="128" t="s">
        <v>313</v>
      </c>
    </row>
    <row r="53" spans="1:13">
      <c r="A53" s="187">
        <f>VLOOKUP(B53,'서비스 Master'!$C$4:$D$62,2,FALSE)</f>
        <v>41</v>
      </c>
      <c r="B53" s="128" t="s">
        <v>904</v>
      </c>
      <c r="C53" s="128" t="s">
        <v>1487</v>
      </c>
      <c r="D53" s="181" t="s">
        <v>1576</v>
      </c>
      <c r="E53" s="181" t="s">
        <v>1458</v>
      </c>
      <c r="F53" s="181" t="s">
        <v>1443</v>
      </c>
      <c r="G53" s="181" t="s">
        <v>1449</v>
      </c>
      <c r="H53" s="128" t="s">
        <v>1338</v>
      </c>
      <c r="I53" s="128" t="s">
        <v>1577</v>
      </c>
      <c r="J53" s="128" t="s">
        <v>1339</v>
      </c>
      <c r="K53" s="128" t="s">
        <v>1337</v>
      </c>
      <c r="L53" s="128" t="s">
        <v>100</v>
      </c>
      <c r="M53" s="128" t="s">
        <v>1578</v>
      </c>
    </row>
    <row r="54" spans="1:13">
      <c r="A54" s="187">
        <f>VLOOKUP(B54,'서비스 Master'!$C$4:$D$62,2,FALSE)</f>
        <v>41</v>
      </c>
      <c r="B54" s="128" t="s">
        <v>904</v>
      </c>
      <c r="C54" s="128" t="s">
        <v>1579</v>
      </c>
      <c r="D54" s="181" t="s">
        <v>1576</v>
      </c>
      <c r="E54" s="181" t="s">
        <v>1458</v>
      </c>
      <c r="F54" s="181" t="s">
        <v>1443</v>
      </c>
      <c r="G54" s="181" t="s">
        <v>1449</v>
      </c>
      <c r="H54" s="128" t="s">
        <v>1341</v>
      </c>
      <c r="I54" s="128" t="s">
        <v>1577</v>
      </c>
      <c r="J54" s="128" t="s">
        <v>1339</v>
      </c>
      <c r="K54" s="128" t="s">
        <v>1337</v>
      </c>
      <c r="L54" s="128" t="s">
        <v>100</v>
      </c>
      <c r="M54" s="128" t="s">
        <v>1578</v>
      </c>
    </row>
    <row r="55" spans="1:13">
      <c r="A55" s="187">
        <f>VLOOKUP(B55,'서비스 Master'!$C$4:$D$62,2,FALSE)</f>
        <v>41</v>
      </c>
      <c r="B55" s="128" t="s">
        <v>904</v>
      </c>
      <c r="C55" s="128" t="s">
        <v>1580</v>
      </c>
      <c r="D55" s="181" t="s">
        <v>1576</v>
      </c>
      <c r="E55" s="181" t="s">
        <v>1458</v>
      </c>
      <c r="F55" s="181" t="s">
        <v>1443</v>
      </c>
      <c r="G55" s="181" t="s">
        <v>1449</v>
      </c>
      <c r="H55" s="128" t="s">
        <v>1341</v>
      </c>
      <c r="I55" s="128" t="s">
        <v>1581</v>
      </c>
      <c r="J55" s="128" t="s">
        <v>1339</v>
      </c>
      <c r="K55" s="128" t="s">
        <v>1337</v>
      </c>
      <c r="L55" s="128" t="s">
        <v>100</v>
      </c>
      <c r="M55" s="128" t="s">
        <v>1578</v>
      </c>
    </row>
    <row r="56" spans="1:13">
      <c r="A56" s="187">
        <f>VLOOKUP(B56,'서비스 Master'!$C$4:$D$62,2,FALSE)</f>
        <v>41</v>
      </c>
      <c r="B56" s="128" t="s">
        <v>904</v>
      </c>
      <c r="C56" s="128" t="s">
        <v>1582</v>
      </c>
      <c r="D56" s="181" t="s">
        <v>1583</v>
      </c>
      <c r="E56" s="181" t="s">
        <v>1442</v>
      </c>
      <c r="F56" s="181" t="s">
        <v>1443</v>
      </c>
      <c r="G56" s="181" t="s">
        <v>1494</v>
      </c>
      <c r="H56" s="128" t="s">
        <v>1345</v>
      </c>
      <c r="I56" s="128" t="s">
        <v>1584</v>
      </c>
      <c r="J56" s="128" t="s">
        <v>1336</v>
      </c>
      <c r="K56" s="128" t="s">
        <v>1337</v>
      </c>
      <c r="L56" s="128" t="s">
        <v>100</v>
      </c>
      <c r="M56" s="128" t="s">
        <v>1578</v>
      </c>
    </row>
    <row r="57" spans="1:13">
      <c r="A57" s="190">
        <f>VLOOKUP(B57,'서비스 Master'!$C$4:$D$62,2,FALSE)</f>
        <v>43</v>
      </c>
      <c r="B57" s="189" t="s">
        <v>332</v>
      </c>
      <c r="C57" s="189" t="s">
        <v>1585</v>
      </c>
      <c r="D57" s="191" t="s">
        <v>1586</v>
      </c>
      <c r="E57" s="191" t="s">
        <v>1587</v>
      </c>
      <c r="F57" s="191" t="s">
        <v>1454</v>
      </c>
      <c r="G57" s="191" t="s">
        <v>1444</v>
      </c>
      <c r="H57" s="189" t="s">
        <v>1345</v>
      </c>
      <c r="I57" s="189" t="s">
        <v>1496</v>
      </c>
      <c r="J57" s="189" t="s">
        <v>1339</v>
      </c>
      <c r="K57" s="189" t="s">
        <v>1337</v>
      </c>
      <c r="L57" s="189" t="s">
        <v>100</v>
      </c>
      <c r="M57" s="189" t="s">
        <v>185</v>
      </c>
    </row>
    <row r="58" spans="1:13">
      <c r="A58" s="190">
        <f>VLOOKUP(B58,'서비스 Master'!$C$4:$D$62,2,FALSE)</f>
        <v>43</v>
      </c>
      <c r="B58" s="189" t="s">
        <v>332</v>
      </c>
      <c r="C58" s="189" t="s">
        <v>1588</v>
      </c>
      <c r="D58" s="191" t="s">
        <v>1589</v>
      </c>
      <c r="E58" s="191" t="s">
        <v>1519</v>
      </c>
      <c r="F58" s="191" t="s">
        <v>1454</v>
      </c>
      <c r="G58" s="191" t="s">
        <v>1444</v>
      </c>
      <c r="H58" s="189" t="s">
        <v>1345</v>
      </c>
      <c r="I58" s="189" t="s">
        <v>1496</v>
      </c>
      <c r="J58" s="189" t="s">
        <v>1339</v>
      </c>
      <c r="K58" s="189" t="s">
        <v>1337</v>
      </c>
      <c r="L58" s="189" t="s">
        <v>100</v>
      </c>
      <c r="M58" s="189" t="s">
        <v>185</v>
      </c>
    </row>
    <row r="59" spans="1:13">
      <c r="A59" s="190">
        <f>VLOOKUP(B59,'서비스 Master'!$C$4:$D$62,2,FALSE)</f>
        <v>44</v>
      </c>
      <c r="B59" s="189" t="s">
        <v>337</v>
      </c>
      <c r="C59" s="189" t="s">
        <v>1585</v>
      </c>
      <c r="D59" s="191" t="s">
        <v>1586</v>
      </c>
      <c r="E59" s="191" t="s">
        <v>1587</v>
      </c>
      <c r="F59" s="191" t="s">
        <v>1454</v>
      </c>
      <c r="G59" s="191" t="s">
        <v>1444</v>
      </c>
      <c r="H59" s="189" t="s">
        <v>1345</v>
      </c>
      <c r="I59" s="189" t="s">
        <v>1496</v>
      </c>
      <c r="J59" s="189" t="s">
        <v>1339</v>
      </c>
      <c r="K59" s="189" t="s">
        <v>1337</v>
      </c>
      <c r="L59" s="189" t="s">
        <v>100</v>
      </c>
      <c r="M59" s="189" t="s">
        <v>185</v>
      </c>
    </row>
    <row r="60" spans="1:13">
      <c r="A60" s="190">
        <f>VLOOKUP(B60,'서비스 Master'!$C$4:$D$62,2,FALSE)</f>
        <v>44</v>
      </c>
      <c r="B60" s="189" t="s">
        <v>337</v>
      </c>
      <c r="C60" s="189" t="s">
        <v>1588</v>
      </c>
      <c r="D60" s="191" t="s">
        <v>1589</v>
      </c>
      <c r="E60" s="191" t="s">
        <v>1519</v>
      </c>
      <c r="F60" s="191" t="s">
        <v>1454</v>
      </c>
      <c r="G60" s="191" t="s">
        <v>1444</v>
      </c>
      <c r="H60" s="189" t="s">
        <v>1345</v>
      </c>
      <c r="I60" s="189" t="s">
        <v>1496</v>
      </c>
      <c r="J60" s="189" t="s">
        <v>1339</v>
      </c>
      <c r="K60" s="189" t="s">
        <v>1337</v>
      </c>
      <c r="L60" s="189" t="s">
        <v>100</v>
      </c>
      <c r="M60" s="189" t="s">
        <v>185</v>
      </c>
    </row>
    <row r="61" spans="1:13">
      <c r="A61" s="190">
        <f>VLOOKUP(B61,'서비스 Master'!$C$4:$D$62,2,FALSE)</f>
        <v>45</v>
      </c>
      <c r="B61" s="189" t="s">
        <v>340</v>
      </c>
      <c r="C61" s="189" t="s">
        <v>1585</v>
      </c>
      <c r="D61" s="191" t="s">
        <v>1586</v>
      </c>
      <c r="E61" s="191" t="s">
        <v>1587</v>
      </c>
      <c r="F61" s="191" t="s">
        <v>1454</v>
      </c>
      <c r="G61" s="191" t="s">
        <v>1444</v>
      </c>
      <c r="H61" s="189" t="s">
        <v>1345</v>
      </c>
      <c r="I61" s="189" t="s">
        <v>1496</v>
      </c>
      <c r="J61" s="189" t="s">
        <v>1339</v>
      </c>
      <c r="K61" s="189" t="s">
        <v>1337</v>
      </c>
      <c r="L61" s="189" t="s">
        <v>100</v>
      </c>
      <c r="M61" s="189" t="s">
        <v>185</v>
      </c>
    </row>
    <row r="62" spans="1:13">
      <c r="A62" s="190">
        <f>VLOOKUP(B62,'서비스 Master'!$C$4:$D$62,2,FALSE)</f>
        <v>45</v>
      </c>
      <c r="B62" s="189" t="s">
        <v>340</v>
      </c>
      <c r="C62" s="189" t="s">
        <v>1588</v>
      </c>
      <c r="D62" s="191" t="s">
        <v>1589</v>
      </c>
      <c r="E62" s="191" t="s">
        <v>1519</v>
      </c>
      <c r="F62" s="191" t="s">
        <v>1454</v>
      </c>
      <c r="G62" s="191" t="s">
        <v>1444</v>
      </c>
      <c r="H62" s="189" t="s">
        <v>1345</v>
      </c>
      <c r="I62" s="189" t="s">
        <v>1496</v>
      </c>
      <c r="J62" s="189" t="s">
        <v>1339</v>
      </c>
      <c r="K62" s="189" t="s">
        <v>1337</v>
      </c>
      <c r="L62" s="189" t="s">
        <v>100</v>
      </c>
      <c r="M62" s="189" t="s">
        <v>185</v>
      </c>
    </row>
    <row r="63" spans="1:13">
      <c r="A63" s="187">
        <f>VLOOKUP(B63,'서비스 Master'!$C$4:$D$62,2,FALSE)</f>
        <v>47</v>
      </c>
      <c r="B63" s="128" t="s">
        <v>351</v>
      </c>
      <c r="C63" s="128" t="s">
        <v>1590</v>
      </c>
      <c r="D63" s="181" t="s">
        <v>1591</v>
      </c>
      <c r="E63" s="181" t="s">
        <v>1465</v>
      </c>
      <c r="F63" s="181" t="s">
        <v>1443</v>
      </c>
      <c r="G63" s="181" t="s">
        <v>1494</v>
      </c>
      <c r="H63" s="128" t="s">
        <v>1345</v>
      </c>
      <c r="I63" s="128" t="s">
        <v>1537</v>
      </c>
      <c r="J63" s="128" t="s">
        <v>1336</v>
      </c>
      <c r="K63" s="128" t="s">
        <v>1337</v>
      </c>
      <c r="L63" s="128" t="s">
        <v>100</v>
      </c>
      <c r="M63" s="128" t="s">
        <v>353</v>
      </c>
    </row>
    <row r="64" spans="1:13">
      <c r="A64" s="187">
        <f>VLOOKUP(B64,'서비스 Master'!$C$4:$D$62,2,FALSE)</f>
        <v>48</v>
      </c>
      <c r="B64" s="128" t="s">
        <v>357</v>
      </c>
      <c r="C64" s="128" t="s">
        <v>1487</v>
      </c>
      <c r="D64" s="181" t="s">
        <v>1508</v>
      </c>
      <c r="E64" s="181" t="s">
        <v>1458</v>
      </c>
      <c r="F64" s="181" t="s">
        <v>1443</v>
      </c>
      <c r="G64" s="181" t="s">
        <v>1449</v>
      </c>
      <c r="H64" s="128" t="s">
        <v>1338</v>
      </c>
      <c r="I64" s="128" t="s">
        <v>1489</v>
      </c>
      <c r="J64" s="128" t="s">
        <v>1339</v>
      </c>
      <c r="K64" s="128" t="s">
        <v>1337</v>
      </c>
      <c r="L64" s="128" t="s">
        <v>100</v>
      </c>
      <c r="M64" s="128" t="s">
        <v>359</v>
      </c>
    </row>
    <row r="65" spans="1:13">
      <c r="A65" s="187">
        <f>VLOOKUP(B65,'서비스 Master'!$C$4:$D$62,2,FALSE)</f>
        <v>48</v>
      </c>
      <c r="B65" s="128" t="s">
        <v>357</v>
      </c>
      <c r="C65" s="128" t="s">
        <v>1509</v>
      </c>
      <c r="D65" s="181" t="s">
        <v>1510</v>
      </c>
      <c r="E65" s="181" t="s">
        <v>1458</v>
      </c>
      <c r="F65" s="181" t="s">
        <v>1443</v>
      </c>
      <c r="G65" s="181" t="s">
        <v>1449</v>
      </c>
      <c r="H65" s="128" t="s">
        <v>1338</v>
      </c>
      <c r="I65" s="128" t="s">
        <v>1511</v>
      </c>
      <c r="J65" s="128" t="s">
        <v>1342</v>
      </c>
      <c r="K65" s="128" t="s">
        <v>1337</v>
      </c>
      <c r="L65" s="128" t="s">
        <v>1512</v>
      </c>
      <c r="M65" s="128" t="s">
        <v>359</v>
      </c>
    </row>
    <row r="66" spans="1:13">
      <c r="A66" s="187">
        <f>VLOOKUP(B66,'서비스 Master'!$C$4:$D$62,2,FALSE)</f>
        <v>52</v>
      </c>
      <c r="B66" s="128" t="s">
        <v>1009</v>
      </c>
      <c r="C66" s="128" t="s">
        <v>1592</v>
      </c>
      <c r="D66" s="181" t="s">
        <v>1458</v>
      </c>
      <c r="E66" s="181" t="s">
        <v>1458</v>
      </c>
      <c r="F66" s="181" t="s">
        <v>1443</v>
      </c>
      <c r="G66" s="181" t="s">
        <v>1444</v>
      </c>
      <c r="H66" s="128" t="s">
        <v>1338</v>
      </c>
      <c r="I66" s="128" t="s">
        <v>1593</v>
      </c>
      <c r="J66" s="128" t="s">
        <v>1339</v>
      </c>
      <c r="K66" s="128" t="s">
        <v>1337</v>
      </c>
      <c r="L66" s="128" t="s">
        <v>100</v>
      </c>
      <c r="M66" s="128" t="s">
        <v>382</v>
      </c>
    </row>
    <row r="67" spans="1:13">
      <c r="A67" s="187">
        <f>VLOOKUP(B67,'서비스 Master'!$C$4:$D$62,2,FALSE)</f>
        <v>52</v>
      </c>
      <c r="B67" s="128" t="s">
        <v>1009</v>
      </c>
      <c r="C67" s="128" t="s">
        <v>1582</v>
      </c>
      <c r="D67" s="181" t="s">
        <v>1583</v>
      </c>
      <c r="E67" s="181" t="s">
        <v>1442</v>
      </c>
      <c r="F67" s="181" t="s">
        <v>1443</v>
      </c>
      <c r="G67" s="181" t="s">
        <v>1494</v>
      </c>
      <c r="H67" s="128" t="s">
        <v>1345</v>
      </c>
      <c r="I67" s="128" t="s">
        <v>1594</v>
      </c>
      <c r="J67" s="128" t="s">
        <v>1336</v>
      </c>
      <c r="K67" s="128" t="s">
        <v>1337</v>
      </c>
      <c r="L67" s="128" t="s">
        <v>100</v>
      </c>
      <c r="M67" s="128" t="s">
        <v>382</v>
      </c>
    </row>
    <row r="68" spans="1:13">
      <c r="A68" s="187">
        <f>VLOOKUP(B68,'서비스 Master'!$C$4:$D$62,2,FALSE)</f>
        <v>52</v>
      </c>
      <c r="B68" s="128" t="s">
        <v>1009</v>
      </c>
      <c r="C68" s="128" t="s">
        <v>1595</v>
      </c>
      <c r="D68" s="181" t="s">
        <v>1596</v>
      </c>
      <c r="E68" s="181" t="s">
        <v>1448</v>
      </c>
      <c r="F68" s="181" t="s">
        <v>1443</v>
      </c>
      <c r="G68" s="181" t="s">
        <v>1444</v>
      </c>
      <c r="H68" s="128" t="s">
        <v>1345</v>
      </c>
      <c r="I68" s="128" t="s">
        <v>1597</v>
      </c>
      <c r="J68" s="128" t="s">
        <v>1336</v>
      </c>
      <c r="K68" s="128" t="s">
        <v>1337</v>
      </c>
      <c r="L68" s="128" t="s">
        <v>100</v>
      </c>
      <c r="M68" s="128" t="s">
        <v>382</v>
      </c>
    </row>
    <row r="69" spans="1:13">
      <c r="A69" s="187">
        <f>VLOOKUP(B69,'서비스 Master'!$C$4:$D$62,2,FALSE)</f>
        <v>52</v>
      </c>
      <c r="B69" s="128" t="s">
        <v>1009</v>
      </c>
      <c r="C69" s="128" t="s">
        <v>1598</v>
      </c>
      <c r="D69" s="181" t="s">
        <v>1599</v>
      </c>
      <c r="E69" s="181" t="s">
        <v>1600</v>
      </c>
      <c r="F69" s="181" t="s">
        <v>1443</v>
      </c>
      <c r="G69" s="181" t="s">
        <v>1494</v>
      </c>
      <c r="H69" s="128" t="s">
        <v>1341</v>
      </c>
      <c r="I69" s="128" t="s">
        <v>1601</v>
      </c>
      <c r="J69" s="128" t="s">
        <v>1336</v>
      </c>
      <c r="K69" s="128" t="s">
        <v>1337</v>
      </c>
      <c r="L69" s="128" t="s">
        <v>100</v>
      </c>
      <c r="M69" s="128" t="s">
        <v>382</v>
      </c>
    </row>
    <row r="70" spans="1:13" s="194" customFormat="1">
      <c r="A70" s="190">
        <f>VLOOKUP(B70,'서비스 Master'!$C$4:$D$62,2,FALSE)</f>
        <v>52</v>
      </c>
      <c r="B70" s="189" t="s">
        <v>1009</v>
      </c>
      <c r="C70" s="189" t="s">
        <v>1602</v>
      </c>
      <c r="D70" s="191" t="s">
        <v>1603</v>
      </c>
      <c r="E70" s="191" t="s">
        <v>1552</v>
      </c>
      <c r="F70" s="191" t="s">
        <v>1454</v>
      </c>
      <c r="G70" s="191" t="s">
        <v>1444</v>
      </c>
      <c r="H70" s="189" t="s">
        <v>1345</v>
      </c>
      <c r="I70" s="189" t="s">
        <v>1604</v>
      </c>
      <c r="J70" s="189" t="s">
        <v>1336</v>
      </c>
      <c r="K70" s="189" t="s">
        <v>1337</v>
      </c>
      <c r="L70" s="189" t="s">
        <v>100</v>
      </c>
      <c r="M70" s="189" t="s">
        <v>382</v>
      </c>
    </row>
    <row r="71" spans="1:13">
      <c r="A71" s="187">
        <f>VLOOKUP(B71,'서비스 Master'!$C$4:$D$62,2,FALSE)</f>
        <v>52</v>
      </c>
      <c r="B71" s="128" t="s">
        <v>1009</v>
      </c>
      <c r="C71" s="128" t="s">
        <v>1605</v>
      </c>
      <c r="D71" s="181" t="s">
        <v>1606</v>
      </c>
      <c r="E71" s="181" t="s">
        <v>1600</v>
      </c>
      <c r="F71" s="181" t="s">
        <v>1443</v>
      </c>
      <c r="G71" s="181" t="s">
        <v>1494</v>
      </c>
      <c r="H71" s="128" t="s">
        <v>1347</v>
      </c>
      <c r="I71" s="128" t="s">
        <v>1607</v>
      </c>
      <c r="J71" s="128" t="s">
        <v>1336</v>
      </c>
      <c r="K71" s="128" t="s">
        <v>1337</v>
      </c>
      <c r="L71" s="128" t="s">
        <v>100</v>
      </c>
      <c r="M71" s="128" t="s">
        <v>382</v>
      </c>
    </row>
    <row r="72" spans="1:13">
      <c r="A72" s="187">
        <f>VLOOKUP(B72,'서비스 Master'!$C$4:$D$62,2,FALSE)</f>
        <v>53</v>
      </c>
      <c r="B72" s="128" t="s">
        <v>388</v>
      </c>
      <c r="C72" s="185" t="s">
        <v>1608</v>
      </c>
      <c r="D72" s="181" t="s">
        <v>1609</v>
      </c>
      <c r="E72" s="181" t="s">
        <v>1600</v>
      </c>
      <c r="F72" s="181" t="s">
        <v>1443</v>
      </c>
      <c r="G72" s="181" t="s">
        <v>1449</v>
      </c>
      <c r="H72" s="128" t="s">
        <v>1338</v>
      </c>
      <c r="I72" s="128" t="s">
        <v>1610</v>
      </c>
      <c r="J72" s="128" t="s">
        <v>1339</v>
      </c>
      <c r="K72" s="128" t="s">
        <v>1337</v>
      </c>
      <c r="L72" s="128" t="s">
        <v>100</v>
      </c>
      <c r="M72" s="128" t="s">
        <v>391</v>
      </c>
    </row>
    <row r="73" spans="1:13">
      <c r="A73" s="187">
        <f>VLOOKUP(B73,'서비스 Master'!$C$4:$D$62,2,FALSE)</f>
        <v>53</v>
      </c>
      <c r="B73" s="128" t="s">
        <v>388</v>
      </c>
      <c r="C73" s="185" t="s">
        <v>1611</v>
      </c>
      <c r="D73" s="181" t="s">
        <v>1609</v>
      </c>
      <c r="E73" s="181" t="s">
        <v>1600</v>
      </c>
      <c r="F73" s="181" t="s">
        <v>1443</v>
      </c>
      <c r="G73" s="181" t="s">
        <v>1449</v>
      </c>
      <c r="H73" s="128" t="s">
        <v>1338</v>
      </c>
      <c r="I73" s="128" t="s">
        <v>1612</v>
      </c>
      <c r="J73" s="128" t="s">
        <v>1339</v>
      </c>
      <c r="K73" s="128" t="s">
        <v>1337</v>
      </c>
      <c r="L73" s="128" t="s">
        <v>100</v>
      </c>
      <c r="M73" s="128" t="s">
        <v>391</v>
      </c>
    </row>
    <row r="74" spans="1:13">
      <c r="A74" s="187">
        <f>VLOOKUP(B74,'서비스 Master'!$C$4:$D$62,2,FALSE)</f>
        <v>53</v>
      </c>
      <c r="B74" s="128" t="s">
        <v>388</v>
      </c>
      <c r="C74" s="185" t="s">
        <v>1613</v>
      </c>
      <c r="D74" s="181" t="s">
        <v>1614</v>
      </c>
      <c r="E74" s="181" t="s">
        <v>1458</v>
      </c>
      <c r="F74" s="181" t="s">
        <v>1443</v>
      </c>
      <c r="G74" s="181" t="s">
        <v>1449</v>
      </c>
      <c r="H74" s="128" t="s">
        <v>1346</v>
      </c>
      <c r="I74" s="128" t="s">
        <v>1615</v>
      </c>
      <c r="J74" s="128" t="s">
        <v>1339</v>
      </c>
      <c r="K74" s="128" t="s">
        <v>1337</v>
      </c>
      <c r="L74" s="128" t="s">
        <v>100</v>
      </c>
      <c r="M74" s="128" t="s">
        <v>391</v>
      </c>
    </row>
    <row r="75" spans="1:13" s="194" customFormat="1">
      <c r="A75" s="190">
        <f>VLOOKUP(B75,'서비스 Master'!$C$4:$D$62,2,FALSE)</f>
        <v>53</v>
      </c>
      <c r="B75" s="189" t="s">
        <v>388</v>
      </c>
      <c r="C75" s="193" t="s">
        <v>1616</v>
      </c>
      <c r="D75" s="191" t="s">
        <v>1461</v>
      </c>
      <c r="E75" s="191" t="s">
        <v>1465</v>
      </c>
      <c r="F75" s="191" t="s">
        <v>1454</v>
      </c>
      <c r="G75" s="191" t="s">
        <v>1444</v>
      </c>
      <c r="H75" s="189" t="s">
        <v>1338</v>
      </c>
      <c r="I75" s="189" t="s">
        <v>1617</v>
      </c>
      <c r="J75" s="189" t="s">
        <v>1339</v>
      </c>
      <c r="K75" s="189" t="s">
        <v>1337</v>
      </c>
      <c r="L75" s="189" t="s">
        <v>100</v>
      </c>
      <c r="M75" s="189" t="s">
        <v>391</v>
      </c>
    </row>
    <row r="76" spans="1:13">
      <c r="A76" s="187">
        <f>VLOOKUP(B76,'서비스 Master'!$C$4:$D$62,2,FALSE)</f>
        <v>53</v>
      </c>
      <c r="B76" s="128" t="s">
        <v>388</v>
      </c>
      <c r="C76" s="185" t="s">
        <v>1618</v>
      </c>
      <c r="D76" s="181" t="s">
        <v>1619</v>
      </c>
      <c r="E76" s="181" t="s">
        <v>1458</v>
      </c>
      <c r="F76" s="181" t="s">
        <v>1443</v>
      </c>
      <c r="G76" s="181" t="s">
        <v>1449</v>
      </c>
      <c r="H76" s="128" t="s">
        <v>1338</v>
      </c>
      <c r="I76" s="128" t="s">
        <v>1620</v>
      </c>
      <c r="J76" s="128" t="s">
        <v>1339</v>
      </c>
      <c r="K76" s="128" t="s">
        <v>1337</v>
      </c>
      <c r="L76" s="128" t="s">
        <v>100</v>
      </c>
      <c r="M76" s="128" t="s">
        <v>391</v>
      </c>
    </row>
    <row r="77" spans="1:13">
      <c r="A77" s="187">
        <f>VLOOKUP(B77,'서비스 Master'!$C$4:$D$62,2,FALSE)</f>
        <v>53</v>
      </c>
      <c r="B77" s="128" t="s">
        <v>388</v>
      </c>
      <c r="C77" s="185" t="s">
        <v>1621</v>
      </c>
      <c r="D77" s="181" t="s">
        <v>1461</v>
      </c>
      <c r="E77" s="181" t="s">
        <v>1458</v>
      </c>
      <c r="F77" s="181" t="s">
        <v>1443</v>
      </c>
      <c r="G77" s="181" t="s">
        <v>1449</v>
      </c>
      <c r="H77" s="128" t="s">
        <v>1338</v>
      </c>
      <c r="I77" s="128" t="s">
        <v>1593</v>
      </c>
      <c r="J77" s="128" t="s">
        <v>1339</v>
      </c>
      <c r="K77" s="128" t="s">
        <v>1337</v>
      </c>
      <c r="L77" s="128" t="s">
        <v>100</v>
      </c>
      <c r="M77" s="128" t="s">
        <v>391</v>
      </c>
    </row>
    <row r="78" spans="1:13">
      <c r="A78" s="187" t="e">
        <f>VLOOKUP(B78,'서비스 Master'!$C$4:$D$62,2,FALSE)</f>
        <v>#N/A</v>
      </c>
      <c r="B78" s="128"/>
      <c r="C78" s="128"/>
      <c r="D78" s="181"/>
      <c r="E78" s="181"/>
      <c r="F78" s="181"/>
      <c r="G78" s="181"/>
      <c r="H78" s="128"/>
      <c r="I78" s="128"/>
      <c r="J78" s="128"/>
      <c r="K78" s="128"/>
      <c r="L78" s="128"/>
      <c r="M78" s="128"/>
    </row>
    <row r="79" spans="1:13">
      <c r="A79" s="187" t="e">
        <f>VLOOKUP(B79,'서비스 Master'!$C$4:$D$62,2,FALSE)</f>
        <v>#N/A</v>
      </c>
      <c r="B79" s="128"/>
      <c r="C79" s="128"/>
      <c r="D79" s="181"/>
      <c r="E79" s="181"/>
      <c r="F79" s="181"/>
      <c r="G79" s="181"/>
      <c r="H79" s="128"/>
      <c r="I79" s="128"/>
      <c r="J79" s="128"/>
      <c r="K79" s="128"/>
      <c r="L79" s="128"/>
      <c r="M79" s="128"/>
    </row>
    <row r="80" spans="1:13">
      <c r="A80" s="187"/>
      <c r="B80" s="128"/>
      <c r="C80" s="128"/>
      <c r="D80" s="181"/>
      <c r="E80" s="181"/>
      <c r="F80" s="181"/>
      <c r="G80" s="181"/>
      <c r="H80" s="128"/>
      <c r="I80" s="128"/>
      <c r="J80" s="128"/>
      <c r="K80" s="128"/>
      <c r="L80" s="128"/>
      <c r="M80" s="128"/>
    </row>
    <row r="81" spans="1:13">
      <c r="A81" s="187"/>
      <c r="B81" s="128"/>
      <c r="C81" s="128"/>
      <c r="D81" s="181"/>
      <c r="E81" s="181"/>
      <c r="F81" s="181"/>
      <c r="G81" s="181"/>
      <c r="H81" s="128"/>
      <c r="I81" s="128"/>
      <c r="J81" s="128"/>
      <c r="K81" s="128"/>
      <c r="L81" s="128"/>
      <c r="M81" s="128"/>
    </row>
  </sheetData>
  <autoFilter ref="A2:M2" xr:uid="{2C449952-002C-42A8-B491-405726984897}"/>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DD4A57FC-EC5A-499D-8386-AAC74B3C0E3C}">
          <x14:formula1>
            <xm:f>Dataset!$G$2:$G$3</xm:f>
          </x14:formula1>
          <xm:sqref>K1:K2 K4:K1048576</xm:sqref>
        </x14:dataValidation>
        <x14:dataValidation type="list" allowBlank="1" showInputMessage="1" showErrorMessage="1" xr:uid="{F8609712-B174-487D-8576-2E7EA5A5CB64}">
          <x14:formula1>
            <xm:f>Dataset!$G$2:$G$4</xm:f>
          </x14:formula1>
          <xm:sqref>K3</xm:sqref>
        </x14:dataValidation>
        <x14:dataValidation type="list" allowBlank="1" showInputMessage="1" showErrorMessage="1" xr:uid="{B503AA35-EC6D-4EA9-A94C-DAB85A0DE31A}">
          <x14:formula1>
            <xm:f>Dataset!$E$2:$E$8</xm:f>
          </x14:formula1>
          <xm:sqref>H1:H1048576</xm:sqref>
        </x14:dataValidation>
        <x14:dataValidation type="list" allowBlank="1" showInputMessage="1" showErrorMessage="1" xr:uid="{665AD2BB-F20E-49C1-A11A-E2B65CD582C0}">
          <x14:formula1>
            <xm:f>Dataset!$F$2:$F$6</xm:f>
          </x14:formula1>
          <xm:sqref>J1:J1048576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C88A-DD01-4770-84E4-6C32EBBB8E25}">
  <dimension ref="A1:O85"/>
  <sheetViews>
    <sheetView workbookViewId="0">
      <pane xSplit="2" ySplit="4" topLeftCell="C5" activePane="bottomRight" state="frozen"/>
      <selection pane="bottomRight" activeCell="D34" sqref="D34:D35"/>
      <selection pane="bottomLeft" activeCell="A4" sqref="A4"/>
      <selection pane="topRight" activeCell="C1" sqref="C1"/>
    </sheetView>
  </sheetViews>
  <sheetFormatPr defaultRowHeight="16.5"/>
  <cols>
    <col min="1" max="1" width="4.125" customWidth="1"/>
    <col min="2" max="2" width="23.75" bestFit="1" customWidth="1"/>
    <col min="3" max="3" width="17.625" bestFit="1" customWidth="1"/>
    <col min="4" max="4" width="17.5" bestFit="1" customWidth="1"/>
    <col min="6" max="6" width="42.875" customWidth="1"/>
    <col min="7" max="7" width="17.75" bestFit="1" customWidth="1"/>
    <col min="8" max="8" width="16.25" bestFit="1" customWidth="1"/>
    <col min="11" max="11" width="12.25" customWidth="1"/>
    <col min="12" max="13" width="13.75" customWidth="1"/>
    <col min="14" max="14" width="9.125" customWidth="1"/>
    <col min="15" max="15" width="17.25" customWidth="1"/>
  </cols>
  <sheetData>
    <row r="1" spans="1:15">
      <c r="G1" s="13" t="s">
        <v>1622</v>
      </c>
      <c r="H1" s="13" t="s">
        <v>1623</v>
      </c>
      <c r="I1" s="13"/>
      <c r="J1" s="13">
        <v>51433</v>
      </c>
      <c r="L1" t="e">
        <f>VLOOKUP(#REF!,#REF!,3,FALSE)</f>
        <v>#REF!</v>
      </c>
      <c r="O1" s="13" t="s">
        <v>1624</v>
      </c>
    </row>
    <row r="3" spans="1:15">
      <c r="A3" s="257" t="s">
        <v>408</v>
      </c>
      <c r="B3" s="257" t="s">
        <v>413</v>
      </c>
      <c r="C3" s="261" t="s">
        <v>410</v>
      </c>
      <c r="D3" s="261"/>
      <c r="E3" s="261"/>
      <c r="F3" s="261"/>
      <c r="G3" s="262" t="s">
        <v>411</v>
      </c>
      <c r="H3" s="263"/>
      <c r="I3" s="263"/>
      <c r="J3" s="263"/>
      <c r="K3" s="263"/>
      <c r="L3" s="263"/>
      <c r="M3" s="264"/>
      <c r="N3" s="12"/>
      <c r="O3" s="12"/>
    </row>
    <row r="4" spans="1:15">
      <c r="A4" s="257"/>
      <c r="B4" s="257"/>
      <c r="C4" s="12" t="s">
        <v>423</v>
      </c>
      <c r="D4" s="12" t="s">
        <v>424</v>
      </c>
      <c r="E4" s="12" t="s">
        <v>1625</v>
      </c>
      <c r="F4" s="12" t="s">
        <v>426</v>
      </c>
      <c r="G4" s="12" t="s">
        <v>423</v>
      </c>
      <c r="H4" s="12" t="s">
        <v>424</v>
      </c>
      <c r="I4" s="12" t="s">
        <v>1625</v>
      </c>
      <c r="J4" s="12" t="s">
        <v>1626</v>
      </c>
      <c r="K4" s="12" t="s">
        <v>434</v>
      </c>
      <c r="L4" s="12" t="s">
        <v>435</v>
      </c>
      <c r="M4" s="12" t="s">
        <v>437</v>
      </c>
      <c r="N4" s="12" t="s">
        <v>438</v>
      </c>
      <c r="O4" s="12" t="s">
        <v>439</v>
      </c>
    </row>
    <row r="5" spans="1:15" s="11" customFormat="1">
      <c r="A5">
        <f>VLOOKUP(B5,'서비스 Master'!$C$4:$D$62,2,FALSE)</f>
        <v>29</v>
      </c>
      <c r="B5" s="14" t="s">
        <v>256</v>
      </c>
      <c r="C5" s="14" t="s">
        <v>1627</v>
      </c>
      <c r="D5" s="14" t="s">
        <v>1628</v>
      </c>
      <c r="E5" s="14"/>
      <c r="F5" s="14" t="s">
        <v>1629</v>
      </c>
      <c r="G5" s="14"/>
      <c r="H5" s="14"/>
      <c r="I5" s="14"/>
      <c r="J5" s="14"/>
      <c r="K5" s="14"/>
      <c r="L5" s="14"/>
      <c r="M5" s="14"/>
      <c r="N5" s="14" t="s">
        <v>1630</v>
      </c>
      <c r="O5" s="14" t="s">
        <v>1631</v>
      </c>
    </row>
    <row r="6" spans="1:15">
      <c r="B6" s="13"/>
      <c r="C6" s="13"/>
      <c r="D6" s="13"/>
      <c r="E6" s="13"/>
      <c r="F6" s="13"/>
      <c r="G6" s="13"/>
      <c r="H6" s="13"/>
      <c r="I6" s="13"/>
      <c r="J6" s="13"/>
      <c r="K6" s="13"/>
      <c r="L6" s="13"/>
      <c r="M6" s="13"/>
      <c r="N6" s="13"/>
      <c r="O6" s="13"/>
    </row>
    <row r="7" spans="1:15">
      <c r="B7" s="13"/>
      <c r="C7" s="13"/>
      <c r="D7" s="13"/>
      <c r="E7" s="13"/>
      <c r="F7" s="13"/>
      <c r="G7" s="13"/>
      <c r="H7" s="13"/>
      <c r="I7" s="13"/>
      <c r="J7" s="13"/>
      <c r="K7" s="13"/>
      <c r="L7" s="13"/>
      <c r="M7" s="13"/>
      <c r="N7" s="13"/>
      <c r="O7" s="13"/>
    </row>
    <row r="8" spans="1:15">
      <c r="B8" s="13"/>
      <c r="C8" s="13"/>
      <c r="D8" s="13"/>
      <c r="E8" s="13"/>
      <c r="F8" s="13"/>
      <c r="G8" s="13"/>
      <c r="H8" s="13"/>
      <c r="I8" s="13"/>
      <c r="J8" s="13"/>
      <c r="K8" s="13"/>
      <c r="L8" s="13"/>
      <c r="M8" s="13"/>
      <c r="N8" s="13"/>
      <c r="O8" s="13"/>
    </row>
    <row r="9" spans="1:15">
      <c r="B9" s="13"/>
      <c r="C9" s="13"/>
      <c r="D9" s="13"/>
      <c r="E9" s="13"/>
      <c r="F9" s="13"/>
      <c r="G9" s="13"/>
      <c r="H9" s="13"/>
      <c r="I9" s="13"/>
      <c r="J9" s="13"/>
      <c r="K9" s="13"/>
      <c r="L9" s="13"/>
      <c r="M9" s="13"/>
      <c r="N9" s="13"/>
      <c r="O9" s="13"/>
    </row>
    <row r="10" spans="1:15">
      <c r="B10" s="13"/>
      <c r="C10" s="13"/>
      <c r="D10" s="13"/>
      <c r="E10" s="13"/>
      <c r="F10" s="13"/>
      <c r="G10" s="13"/>
      <c r="H10" s="13"/>
      <c r="I10" s="13"/>
      <c r="J10" s="13"/>
      <c r="K10" s="13"/>
      <c r="L10" s="13"/>
      <c r="M10" s="13"/>
      <c r="N10" s="13"/>
      <c r="O10" s="13"/>
    </row>
    <row r="11" spans="1:15">
      <c r="B11" s="13"/>
      <c r="C11" s="13"/>
      <c r="D11" s="13"/>
      <c r="E11" s="13"/>
      <c r="F11" s="13"/>
      <c r="G11" s="13"/>
      <c r="H11" s="13"/>
      <c r="I11" s="13"/>
      <c r="J11" s="13"/>
      <c r="K11" s="13"/>
      <c r="L11" s="13"/>
      <c r="M11" s="13"/>
      <c r="N11" s="13"/>
      <c r="O11" s="13"/>
    </row>
    <row r="12" spans="1:15">
      <c r="B12" s="13"/>
      <c r="C12" s="13"/>
      <c r="D12" s="13"/>
      <c r="E12" s="13"/>
      <c r="F12" s="13"/>
      <c r="G12" s="13"/>
      <c r="H12" s="13"/>
      <c r="I12" s="13"/>
      <c r="J12" s="13"/>
      <c r="K12" s="13"/>
      <c r="L12" s="13"/>
      <c r="M12" s="13"/>
      <c r="N12" s="13"/>
      <c r="O12" s="13"/>
    </row>
    <row r="13" spans="1:15">
      <c r="B13" s="13"/>
      <c r="C13" s="13"/>
      <c r="D13" s="13"/>
      <c r="E13" s="13"/>
      <c r="F13" s="13"/>
      <c r="G13" s="13"/>
      <c r="H13" s="13"/>
      <c r="I13" s="13"/>
      <c r="J13" s="13"/>
      <c r="K13" s="13"/>
      <c r="L13" s="13"/>
      <c r="M13" s="13"/>
      <c r="N13" s="13"/>
      <c r="O13" s="13"/>
    </row>
    <row r="14" spans="1:15">
      <c r="B14" s="13"/>
      <c r="C14" s="13"/>
      <c r="D14" s="13"/>
      <c r="E14" s="13"/>
      <c r="F14" s="13"/>
      <c r="G14" s="13"/>
      <c r="H14" s="13"/>
      <c r="I14" s="13"/>
      <c r="J14" s="13"/>
      <c r="K14" s="13"/>
      <c r="L14" s="13"/>
      <c r="M14" s="13"/>
      <c r="N14" s="13"/>
      <c r="O14" s="13"/>
    </row>
    <row r="15" spans="1:15">
      <c r="B15" s="13"/>
      <c r="C15" s="13"/>
      <c r="D15" s="13"/>
      <c r="E15" s="13"/>
      <c r="F15" s="13"/>
      <c r="G15" s="13"/>
      <c r="H15" s="13"/>
      <c r="I15" s="13"/>
      <c r="J15" s="13"/>
      <c r="K15" s="13"/>
      <c r="L15" s="13"/>
      <c r="M15" s="13"/>
      <c r="N15" s="13"/>
      <c r="O15" s="13"/>
    </row>
    <row r="16" spans="1:15">
      <c r="B16" s="13"/>
      <c r="C16" s="13"/>
      <c r="D16" s="13"/>
      <c r="E16" s="13"/>
      <c r="F16" s="13"/>
      <c r="G16" s="13"/>
      <c r="H16" s="13"/>
      <c r="I16" s="13"/>
      <c r="J16" s="13"/>
      <c r="K16" s="13"/>
      <c r="L16" s="13"/>
      <c r="M16" s="13"/>
      <c r="N16" s="13"/>
      <c r="O16" s="13"/>
    </row>
    <row r="17" spans="2:15">
      <c r="B17" s="13"/>
      <c r="C17" s="13"/>
      <c r="D17" s="13"/>
      <c r="E17" s="13"/>
      <c r="F17" s="13"/>
      <c r="G17" s="13"/>
      <c r="H17" s="13"/>
      <c r="I17" s="13"/>
      <c r="J17" s="13"/>
      <c r="K17" s="13"/>
      <c r="L17" s="13"/>
      <c r="M17" s="13"/>
      <c r="N17" s="13"/>
      <c r="O17" s="13"/>
    </row>
    <row r="18" spans="2:15">
      <c r="B18" s="13"/>
      <c r="C18" s="13"/>
      <c r="D18" s="13"/>
      <c r="E18" s="13"/>
      <c r="F18" s="13"/>
      <c r="G18" s="13"/>
      <c r="H18" s="13"/>
      <c r="I18" s="13"/>
      <c r="J18" s="13"/>
      <c r="K18" s="13"/>
      <c r="L18" s="13"/>
      <c r="M18" s="13"/>
      <c r="N18" s="13"/>
      <c r="O18" s="13"/>
    </row>
    <row r="19" spans="2:15">
      <c r="B19" s="13"/>
      <c r="C19" s="13"/>
      <c r="D19" s="13"/>
      <c r="E19" s="13"/>
      <c r="F19" s="13"/>
      <c r="G19" s="13"/>
      <c r="H19" s="13"/>
      <c r="I19" s="13"/>
      <c r="J19" s="13"/>
      <c r="K19" s="13"/>
      <c r="L19" s="13"/>
      <c r="M19" s="13"/>
      <c r="N19" s="13"/>
      <c r="O19" s="13"/>
    </row>
    <row r="20" spans="2:15">
      <c r="B20" s="13"/>
      <c r="C20" s="13"/>
      <c r="D20" s="13"/>
      <c r="E20" s="13"/>
      <c r="F20" s="13"/>
      <c r="G20" s="13"/>
      <c r="H20" s="13"/>
      <c r="I20" s="13"/>
      <c r="J20" s="13"/>
      <c r="K20" s="13"/>
      <c r="L20" s="13"/>
      <c r="M20" s="13"/>
      <c r="N20" s="13"/>
      <c r="O20" s="13"/>
    </row>
    <row r="21" spans="2:15">
      <c r="B21" s="13"/>
      <c r="C21" s="13"/>
      <c r="D21" s="13"/>
      <c r="E21" s="13"/>
      <c r="F21" s="13"/>
      <c r="G21" s="13"/>
      <c r="H21" s="13"/>
      <c r="I21" s="13"/>
      <c r="J21" s="13"/>
      <c r="K21" s="13"/>
      <c r="L21" s="13"/>
      <c r="M21" s="13"/>
      <c r="N21" s="13"/>
      <c r="O21" s="13"/>
    </row>
    <row r="22" spans="2:15">
      <c r="B22" s="13"/>
      <c r="C22" s="13"/>
      <c r="D22" s="13"/>
      <c r="E22" s="13"/>
      <c r="F22" s="13"/>
      <c r="G22" s="13"/>
      <c r="H22" s="13"/>
      <c r="I22" s="13"/>
      <c r="J22" s="13"/>
      <c r="K22" s="13"/>
      <c r="L22" s="13"/>
      <c r="M22" s="13"/>
      <c r="N22" s="13"/>
      <c r="O22" s="13"/>
    </row>
    <row r="23" spans="2:15">
      <c r="B23" s="13"/>
      <c r="C23" s="13"/>
      <c r="D23" s="13"/>
      <c r="E23" s="13"/>
      <c r="F23" s="13"/>
      <c r="G23" s="13"/>
      <c r="H23" s="13"/>
      <c r="I23" s="13"/>
      <c r="J23" s="13"/>
      <c r="K23" s="13"/>
      <c r="L23" s="13"/>
      <c r="M23" s="13"/>
      <c r="N23" s="13"/>
      <c r="O23" s="13"/>
    </row>
    <row r="24" spans="2:15">
      <c r="B24" s="13"/>
      <c r="C24" s="13"/>
      <c r="D24" s="13"/>
      <c r="E24" s="13"/>
      <c r="F24" s="13"/>
      <c r="G24" s="13"/>
      <c r="H24" s="13"/>
      <c r="I24" s="13"/>
      <c r="J24" s="13"/>
      <c r="K24" s="13"/>
      <c r="L24" s="13"/>
      <c r="M24" s="13"/>
      <c r="N24" s="13"/>
      <c r="O24" s="13"/>
    </row>
    <row r="25" spans="2:15">
      <c r="B25" s="13"/>
      <c r="C25" s="13"/>
      <c r="D25" s="13"/>
      <c r="E25" s="13"/>
      <c r="F25" s="13"/>
      <c r="G25" s="13"/>
      <c r="H25" s="13"/>
      <c r="I25" s="13"/>
      <c r="J25" s="13"/>
      <c r="K25" s="13"/>
      <c r="L25" s="13"/>
      <c r="M25" s="13"/>
      <c r="N25" s="13"/>
      <c r="O25" s="13"/>
    </row>
    <row r="26" spans="2:15">
      <c r="B26" s="13"/>
      <c r="C26" s="13"/>
      <c r="D26" s="13"/>
      <c r="E26" s="13"/>
      <c r="F26" s="13"/>
      <c r="G26" s="13"/>
      <c r="H26" s="13"/>
      <c r="I26" s="13"/>
      <c r="J26" s="13"/>
      <c r="K26" s="13"/>
      <c r="L26" s="13"/>
      <c r="M26" s="13"/>
      <c r="N26" s="13"/>
      <c r="O26" s="13"/>
    </row>
    <row r="27" spans="2:15">
      <c r="B27" s="13"/>
      <c r="C27" s="13"/>
      <c r="D27" s="13"/>
      <c r="E27" s="13"/>
      <c r="F27" s="13"/>
      <c r="G27" s="13"/>
      <c r="H27" s="13"/>
      <c r="I27" s="13"/>
      <c r="J27" s="13"/>
      <c r="K27" s="13"/>
      <c r="L27" s="13"/>
      <c r="M27" s="13"/>
      <c r="N27" s="13"/>
      <c r="O27" s="13"/>
    </row>
    <row r="28" spans="2:15">
      <c r="B28" s="13"/>
      <c r="C28" s="13"/>
      <c r="D28" s="13"/>
      <c r="E28" s="13"/>
      <c r="F28" s="13"/>
      <c r="G28" s="13"/>
      <c r="H28" s="13"/>
      <c r="I28" s="13"/>
      <c r="J28" s="13"/>
      <c r="K28" s="13"/>
      <c r="L28" s="13"/>
      <c r="M28" s="13"/>
      <c r="N28" s="13"/>
      <c r="O28" s="13"/>
    </row>
    <row r="29" spans="2:15">
      <c r="B29" s="13"/>
      <c r="C29" s="13"/>
      <c r="D29" s="13"/>
      <c r="E29" s="13"/>
      <c r="F29" s="13"/>
      <c r="G29" s="13"/>
      <c r="H29" s="13"/>
      <c r="I29" s="13"/>
      <c r="J29" s="13"/>
      <c r="K29" s="13"/>
      <c r="L29" s="13"/>
      <c r="M29" s="13"/>
      <c r="N29" s="13"/>
      <c r="O29" s="13"/>
    </row>
    <row r="30" spans="2:15">
      <c r="B30" s="13"/>
      <c r="C30" s="13"/>
      <c r="D30" s="13"/>
      <c r="E30" s="13"/>
      <c r="F30" s="13"/>
      <c r="G30" s="13"/>
      <c r="H30" s="13"/>
      <c r="I30" s="13"/>
      <c r="J30" s="13"/>
      <c r="K30" s="13"/>
      <c r="L30" s="13"/>
      <c r="M30" s="13"/>
      <c r="N30" s="13"/>
      <c r="O30" s="13"/>
    </row>
    <row r="31" spans="2:15">
      <c r="B31" s="13"/>
      <c r="C31" s="13"/>
      <c r="D31" s="13"/>
      <c r="E31" s="13"/>
      <c r="F31" s="13"/>
      <c r="G31" s="13"/>
      <c r="H31" s="13"/>
      <c r="I31" s="13"/>
      <c r="J31" s="13"/>
      <c r="K31" s="13"/>
      <c r="L31" s="13"/>
      <c r="M31" s="13"/>
      <c r="N31" s="13"/>
      <c r="O31" s="13"/>
    </row>
    <row r="32" spans="2:15">
      <c r="B32" s="13"/>
      <c r="C32" s="13"/>
      <c r="D32" s="13"/>
      <c r="E32" s="13"/>
      <c r="F32" s="13"/>
      <c r="G32" s="13"/>
      <c r="H32" s="13"/>
      <c r="I32" s="13"/>
      <c r="J32" s="13"/>
      <c r="K32" s="13"/>
      <c r="L32" s="13"/>
      <c r="M32" s="13"/>
      <c r="N32" s="13"/>
      <c r="O32" s="13"/>
    </row>
    <row r="33" spans="2:15">
      <c r="B33" s="13"/>
      <c r="C33" s="13"/>
      <c r="D33" s="13"/>
      <c r="E33" s="13"/>
      <c r="F33" s="13"/>
      <c r="G33" s="13"/>
      <c r="H33" s="13"/>
      <c r="I33" s="13"/>
      <c r="J33" s="13"/>
      <c r="K33" s="13"/>
      <c r="L33" s="13"/>
      <c r="M33" s="13"/>
      <c r="N33" s="13"/>
      <c r="O33" s="13"/>
    </row>
    <row r="34" spans="2:15">
      <c r="B34" s="13"/>
      <c r="C34" s="13"/>
      <c r="D34" s="13"/>
      <c r="E34" s="13"/>
      <c r="F34" s="13"/>
      <c r="G34" s="13"/>
      <c r="H34" s="13"/>
      <c r="I34" s="13"/>
      <c r="J34" s="13"/>
      <c r="K34" s="13"/>
      <c r="L34" s="13"/>
      <c r="M34" s="13"/>
      <c r="N34" s="13"/>
      <c r="O34" s="13"/>
    </row>
    <row r="35" spans="2:15">
      <c r="B35" s="13"/>
      <c r="C35" s="13"/>
      <c r="D35" s="13"/>
      <c r="E35" s="13"/>
      <c r="F35" s="13"/>
      <c r="G35" s="13"/>
      <c r="H35" s="13"/>
      <c r="I35" s="13"/>
      <c r="J35" s="13"/>
      <c r="K35" s="13"/>
      <c r="L35" s="13"/>
      <c r="M35" s="13"/>
      <c r="N35" s="13"/>
      <c r="O35" s="13"/>
    </row>
    <row r="36" spans="2:15">
      <c r="B36" s="13"/>
      <c r="C36" s="13"/>
      <c r="D36" s="13"/>
      <c r="E36" s="13"/>
      <c r="F36" s="13"/>
      <c r="G36" s="13"/>
      <c r="H36" s="13"/>
      <c r="I36" s="13"/>
      <c r="J36" s="13"/>
      <c r="K36" s="13"/>
      <c r="L36" s="13"/>
      <c r="M36" s="13"/>
      <c r="N36" s="13"/>
      <c r="O36" s="13"/>
    </row>
    <row r="37" spans="2:15">
      <c r="B37" s="13"/>
      <c r="C37" s="13"/>
      <c r="D37" s="13"/>
      <c r="E37" s="13"/>
      <c r="F37" s="13"/>
      <c r="G37" s="13"/>
      <c r="H37" s="13"/>
      <c r="I37" s="13"/>
      <c r="J37" s="13"/>
      <c r="K37" s="13"/>
      <c r="L37" s="13"/>
      <c r="M37" s="13"/>
      <c r="N37" s="13"/>
      <c r="O37" s="13"/>
    </row>
    <row r="38" spans="2:15">
      <c r="B38" s="13"/>
      <c r="C38" s="13"/>
      <c r="D38" s="13"/>
      <c r="E38" s="13"/>
      <c r="F38" s="13"/>
      <c r="G38" s="13"/>
      <c r="H38" s="13"/>
      <c r="I38" s="13"/>
      <c r="J38" s="13"/>
      <c r="K38" s="13"/>
      <c r="L38" s="13"/>
      <c r="M38" s="13"/>
      <c r="N38" s="13"/>
      <c r="O38" s="13"/>
    </row>
    <row r="39" spans="2:15">
      <c r="B39" s="13"/>
      <c r="C39" s="13"/>
      <c r="D39" s="13"/>
      <c r="E39" s="13"/>
      <c r="F39" s="13"/>
      <c r="G39" s="13"/>
      <c r="H39" s="13"/>
      <c r="I39" s="13"/>
      <c r="J39" s="13"/>
      <c r="K39" s="13"/>
      <c r="L39" s="13"/>
      <c r="M39" s="13"/>
      <c r="N39" s="13"/>
      <c r="O39" s="13"/>
    </row>
    <row r="40" spans="2:15">
      <c r="B40" s="13"/>
      <c r="C40" s="13"/>
      <c r="D40" s="13"/>
      <c r="E40" s="13"/>
      <c r="F40" s="13"/>
      <c r="G40" s="13"/>
      <c r="H40" s="13"/>
      <c r="I40" s="13"/>
      <c r="J40" s="13"/>
      <c r="K40" s="13"/>
      <c r="L40" s="13"/>
      <c r="M40" s="13"/>
      <c r="N40" s="13"/>
      <c r="O40" s="13"/>
    </row>
    <row r="41" spans="2:15">
      <c r="B41" s="13"/>
      <c r="C41" s="13"/>
      <c r="D41" s="13"/>
      <c r="E41" s="13"/>
      <c r="F41" s="13"/>
      <c r="G41" s="13"/>
      <c r="H41" s="13"/>
      <c r="I41" s="13"/>
      <c r="J41" s="13"/>
      <c r="K41" s="13"/>
      <c r="L41" s="13"/>
      <c r="M41" s="13"/>
      <c r="N41" s="13"/>
      <c r="O41" s="13"/>
    </row>
    <row r="42" spans="2:15">
      <c r="B42" s="13"/>
      <c r="C42" s="13"/>
      <c r="D42" s="13"/>
      <c r="E42" s="13"/>
      <c r="F42" s="13"/>
      <c r="G42" s="13"/>
      <c r="H42" s="13"/>
      <c r="I42" s="13"/>
      <c r="J42" s="13"/>
      <c r="K42" s="13"/>
      <c r="L42" s="13"/>
      <c r="M42" s="13"/>
      <c r="N42" s="13"/>
      <c r="O42" s="13"/>
    </row>
    <row r="43" spans="2:15">
      <c r="B43" s="13"/>
      <c r="C43" s="13"/>
      <c r="D43" s="13"/>
      <c r="E43" s="13"/>
      <c r="F43" s="13"/>
      <c r="G43" s="13"/>
      <c r="H43" s="13"/>
      <c r="I43" s="13"/>
      <c r="J43" s="13"/>
      <c r="K43" s="13"/>
      <c r="L43" s="13"/>
      <c r="M43" s="13"/>
      <c r="N43" s="13"/>
      <c r="O43" s="13"/>
    </row>
    <row r="44" spans="2:15">
      <c r="B44" s="13"/>
      <c r="C44" s="13"/>
      <c r="D44" s="13"/>
      <c r="E44" s="13"/>
      <c r="F44" s="13"/>
      <c r="G44" s="13"/>
      <c r="H44" s="13"/>
      <c r="I44" s="13"/>
      <c r="J44" s="13"/>
      <c r="K44" s="13"/>
      <c r="L44" s="13"/>
      <c r="M44" s="13"/>
      <c r="N44" s="13"/>
      <c r="O44" s="13"/>
    </row>
    <row r="45" spans="2:15">
      <c r="B45" s="13"/>
      <c r="C45" s="13"/>
      <c r="D45" s="13"/>
      <c r="E45" s="13"/>
      <c r="F45" s="13"/>
      <c r="G45" s="13"/>
      <c r="H45" s="13"/>
      <c r="I45" s="13"/>
      <c r="J45" s="13"/>
      <c r="K45" s="13"/>
      <c r="L45" s="13"/>
      <c r="M45" s="13"/>
      <c r="N45" s="13"/>
      <c r="O45" s="13"/>
    </row>
    <row r="46" spans="2:15">
      <c r="B46" s="13"/>
      <c r="C46" s="13"/>
      <c r="D46" s="13"/>
      <c r="E46" s="13"/>
      <c r="F46" s="13"/>
      <c r="G46" s="13"/>
      <c r="H46" s="13"/>
      <c r="I46" s="13"/>
      <c r="J46" s="13"/>
      <c r="K46" s="13"/>
      <c r="L46" s="13"/>
      <c r="M46" s="13"/>
      <c r="N46" s="13"/>
      <c r="O46" s="13"/>
    </row>
    <row r="47" spans="2:15">
      <c r="B47" s="13"/>
      <c r="C47" s="13"/>
      <c r="D47" s="13"/>
      <c r="E47" s="13"/>
      <c r="F47" s="13"/>
      <c r="G47" s="13"/>
      <c r="H47" s="13"/>
      <c r="I47" s="13"/>
      <c r="J47" s="13"/>
      <c r="K47" s="13"/>
      <c r="L47" s="13"/>
      <c r="M47" s="13"/>
      <c r="N47" s="13"/>
      <c r="O47" s="13"/>
    </row>
    <row r="48" spans="2:15">
      <c r="B48" s="13"/>
      <c r="C48" s="13"/>
      <c r="D48" s="13"/>
      <c r="E48" s="13"/>
      <c r="F48" s="13"/>
      <c r="G48" s="13"/>
      <c r="H48" s="13"/>
      <c r="I48" s="13"/>
      <c r="J48" s="13"/>
      <c r="K48" s="13"/>
      <c r="L48" s="13"/>
      <c r="M48" s="13"/>
      <c r="N48" s="13"/>
      <c r="O48" s="13"/>
    </row>
    <row r="49" spans="2:15">
      <c r="B49" s="13"/>
      <c r="C49" s="13"/>
      <c r="D49" s="13"/>
      <c r="E49" s="13"/>
      <c r="F49" s="13"/>
      <c r="G49" s="13"/>
      <c r="H49" s="13"/>
      <c r="I49" s="13"/>
      <c r="J49" s="13"/>
      <c r="K49" s="13"/>
      <c r="L49" s="13"/>
      <c r="M49" s="13"/>
      <c r="N49" s="13"/>
      <c r="O49" s="13"/>
    </row>
    <row r="50" spans="2:15">
      <c r="B50" s="13"/>
      <c r="C50" s="13"/>
      <c r="D50" s="13"/>
      <c r="E50" s="13"/>
      <c r="F50" s="13"/>
      <c r="G50" s="13"/>
      <c r="H50" s="13"/>
      <c r="I50" s="13"/>
      <c r="J50" s="13"/>
      <c r="K50" s="13"/>
      <c r="L50" s="13"/>
      <c r="M50" s="13"/>
      <c r="N50" s="13"/>
      <c r="O50" s="13"/>
    </row>
    <row r="51" spans="2:15">
      <c r="B51" s="13"/>
      <c r="C51" s="13"/>
      <c r="D51" s="13"/>
      <c r="E51" s="13"/>
      <c r="F51" s="13"/>
      <c r="G51" s="13"/>
      <c r="H51" s="13"/>
      <c r="I51" s="13"/>
      <c r="J51" s="13"/>
      <c r="K51" s="13"/>
      <c r="L51" s="13"/>
      <c r="M51" s="13"/>
      <c r="N51" s="13"/>
      <c r="O51" s="13"/>
    </row>
    <row r="52" spans="2:15">
      <c r="B52" s="13"/>
      <c r="C52" s="13"/>
      <c r="D52" s="13"/>
      <c r="E52" s="13"/>
      <c r="F52" s="13"/>
      <c r="G52" s="13"/>
      <c r="H52" s="13"/>
      <c r="I52" s="13"/>
      <c r="J52" s="13"/>
      <c r="K52" s="13"/>
      <c r="L52" s="13"/>
      <c r="M52" s="13"/>
      <c r="N52" s="13"/>
      <c r="O52" s="13"/>
    </row>
    <row r="53" spans="2:15">
      <c r="B53" s="13"/>
      <c r="C53" s="13"/>
      <c r="D53" s="13"/>
      <c r="E53" s="13"/>
      <c r="F53" s="13"/>
      <c r="G53" s="13"/>
      <c r="H53" s="13"/>
      <c r="I53" s="13"/>
      <c r="J53" s="13"/>
      <c r="K53" s="13"/>
      <c r="L53" s="13"/>
      <c r="M53" s="13"/>
      <c r="N53" s="13"/>
      <c r="O53" s="13"/>
    </row>
    <row r="54" spans="2:15">
      <c r="B54" s="13"/>
      <c r="C54" s="13"/>
      <c r="D54" s="13"/>
      <c r="E54" s="13"/>
      <c r="F54" s="13"/>
      <c r="G54" s="13"/>
      <c r="H54" s="13"/>
      <c r="I54" s="13"/>
      <c r="J54" s="13"/>
      <c r="K54" s="13"/>
      <c r="L54" s="13"/>
      <c r="M54" s="13"/>
      <c r="N54" s="13"/>
      <c r="O54" s="13"/>
    </row>
    <row r="55" spans="2:15">
      <c r="B55" s="13"/>
      <c r="C55" s="13"/>
      <c r="D55" s="13"/>
      <c r="E55" s="13"/>
      <c r="F55" s="13"/>
      <c r="G55" s="13"/>
      <c r="H55" s="13"/>
      <c r="I55" s="13"/>
      <c r="J55" s="13"/>
      <c r="K55" s="13"/>
      <c r="L55" s="13"/>
      <c r="M55" s="13"/>
      <c r="N55" s="13"/>
      <c r="O55" s="13"/>
    </row>
    <row r="56" spans="2:15">
      <c r="B56" s="13"/>
      <c r="C56" s="13"/>
      <c r="D56" s="13"/>
      <c r="E56" s="13"/>
      <c r="F56" s="13"/>
      <c r="G56" s="13"/>
      <c r="H56" s="13"/>
      <c r="I56" s="13"/>
      <c r="J56" s="13"/>
      <c r="K56" s="13"/>
      <c r="L56" s="13"/>
      <c r="M56" s="13"/>
      <c r="N56" s="13"/>
      <c r="O56" s="13"/>
    </row>
    <row r="57" spans="2:15">
      <c r="B57" s="13"/>
      <c r="C57" s="13"/>
      <c r="D57" s="13"/>
      <c r="E57" s="13"/>
      <c r="F57" s="13"/>
      <c r="G57" s="13"/>
      <c r="H57" s="13"/>
      <c r="I57" s="13"/>
      <c r="J57" s="13"/>
      <c r="K57" s="13"/>
      <c r="L57" s="13"/>
      <c r="M57" s="13"/>
      <c r="N57" s="13"/>
      <c r="O57" s="13"/>
    </row>
    <row r="58" spans="2:15">
      <c r="B58" s="13"/>
      <c r="C58" s="13"/>
      <c r="D58" s="13"/>
      <c r="E58" s="13"/>
      <c r="F58" s="13"/>
      <c r="G58" s="13"/>
      <c r="H58" s="13"/>
      <c r="I58" s="13"/>
      <c r="J58" s="13"/>
      <c r="K58" s="13"/>
      <c r="L58" s="13"/>
      <c r="M58" s="13"/>
      <c r="N58" s="13"/>
      <c r="O58" s="13"/>
    </row>
    <row r="59" spans="2:15">
      <c r="B59" s="13"/>
      <c r="C59" s="13"/>
      <c r="D59" s="13"/>
      <c r="E59" s="13"/>
      <c r="F59" s="13"/>
      <c r="G59" s="13"/>
      <c r="H59" s="13"/>
      <c r="I59" s="13"/>
      <c r="J59" s="13"/>
      <c r="K59" s="13"/>
      <c r="L59" s="13"/>
      <c r="M59" s="13"/>
      <c r="N59" s="13"/>
      <c r="O59" s="13"/>
    </row>
    <row r="60" spans="2:15">
      <c r="B60" s="13"/>
      <c r="C60" s="13"/>
      <c r="D60" s="13"/>
      <c r="E60" s="13"/>
      <c r="F60" s="13"/>
      <c r="G60" s="13"/>
      <c r="H60" s="13"/>
      <c r="I60" s="13"/>
      <c r="J60" s="13"/>
      <c r="K60" s="13"/>
      <c r="L60" s="13"/>
      <c r="M60" s="13"/>
      <c r="N60" s="13"/>
      <c r="O60" s="13"/>
    </row>
    <row r="61" spans="2:15">
      <c r="B61" s="13"/>
      <c r="C61" s="13"/>
      <c r="D61" s="13"/>
      <c r="E61" s="13"/>
      <c r="F61" s="13"/>
      <c r="G61" s="13"/>
      <c r="H61" s="13"/>
      <c r="I61" s="13"/>
      <c r="J61" s="13"/>
      <c r="K61" s="13"/>
      <c r="L61" s="13"/>
      <c r="M61" s="13"/>
      <c r="N61" s="13"/>
      <c r="O61" s="13"/>
    </row>
    <row r="62" spans="2:15">
      <c r="B62" s="13"/>
      <c r="C62" s="13"/>
      <c r="D62" s="13"/>
      <c r="E62" s="13"/>
      <c r="F62" s="13"/>
      <c r="G62" s="13"/>
      <c r="H62" s="13"/>
      <c r="I62" s="13"/>
      <c r="J62" s="13"/>
      <c r="K62" s="13"/>
      <c r="L62" s="13"/>
      <c r="M62" s="13"/>
      <c r="N62" s="13"/>
      <c r="O62" s="13"/>
    </row>
    <row r="63" spans="2:15">
      <c r="B63" s="13"/>
      <c r="C63" s="13"/>
      <c r="D63" s="13"/>
      <c r="E63" s="13"/>
      <c r="F63" s="13"/>
      <c r="G63" s="13"/>
      <c r="H63" s="13"/>
      <c r="I63" s="13"/>
      <c r="J63" s="13"/>
      <c r="K63" s="13"/>
      <c r="L63" s="13"/>
      <c r="M63" s="13"/>
      <c r="N63" s="13"/>
      <c r="O63" s="13"/>
    </row>
    <row r="64" spans="2:15">
      <c r="B64" s="13"/>
      <c r="C64" s="13"/>
      <c r="D64" s="13"/>
      <c r="E64" s="13"/>
      <c r="F64" s="13"/>
      <c r="G64" s="13"/>
      <c r="H64" s="13"/>
      <c r="I64" s="13"/>
      <c r="J64" s="13"/>
      <c r="K64" s="13"/>
      <c r="L64" s="13"/>
      <c r="M64" s="13"/>
      <c r="N64" s="13"/>
      <c r="O64" s="13"/>
    </row>
    <row r="65" spans="2:15">
      <c r="B65" s="13"/>
      <c r="C65" s="13"/>
      <c r="D65" s="13"/>
      <c r="E65" s="13"/>
      <c r="F65" s="13"/>
      <c r="G65" s="13"/>
      <c r="H65" s="13"/>
      <c r="I65" s="13"/>
      <c r="J65" s="13"/>
      <c r="K65" s="13"/>
      <c r="L65" s="13"/>
      <c r="M65" s="13"/>
      <c r="N65" s="13"/>
      <c r="O65" s="13"/>
    </row>
    <row r="66" spans="2:15">
      <c r="B66" s="13"/>
      <c r="C66" s="13"/>
      <c r="D66" s="13"/>
      <c r="E66" s="13"/>
      <c r="F66" s="13"/>
      <c r="G66" s="13"/>
      <c r="H66" s="13"/>
      <c r="I66" s="13"/>
      <c r="J66" s="13"/>
      <c r="K66" s="13"/>
      <c r="L66" s="13"/>
      <c r="M66" s="13"/>
      <c r="N66" s="13"/>
      <c r="O66" s="13"/>
    </row>
    <row r="67" spans="2:15">
      <c r="B67" s="13"/>
      <c r="C67" s="13"/>
      <c r="D67" s="13"/>
      <c r="E67" s="13"/>
      <c r="F67" s="13"/>
      <c r="G67" s="13"/>
      <c r="H67" s="13"/>
      <c r="I67" s="13"/>
      <c r="J67" s="13"/>
      <c r="K67" s="13"/>
      <c r="L67" s="13"/>
      <c r="M67" s="13"/>
      <c r="N67" s="13"/>
      <c r="O67" s="13"/>
    </row>
    <row r="68" spans="2:15">
      <c r="B68" s="13"/>
      <c r="C68" s="13"/>
      <c r="D68" s="13"/>
      <c r="E68" s="13"/>
      <c r="F68" s="13"/>
      <c r="G68" s="13"/>
      <c r="H68" s="13"/>
      <c r="I68" s="13"/>
      <c r="J68" s="13"/>
      <c r="K68" s="13"/>
      <c r="L68" s="13"/>
      <c r="M68" s="13"/>
      <c r="N68" s="13"/>
      <c r="O68" s="13"/>
    </row>
    <row r="69" spans="2:15">
      <c r="B69" s="13"/>
      <c r="C69" s="13"/>
      <c r="D69" s="13"/>
      <c r="E69" s="13"/>
      <c r="F69" s="13"/>
      <c r="G69" s="13"/>
      <c r="H69" s="13"/>
      <c r="I69" s="13"/>
      <c r="J69" s="13"/>
      <c r="K69" s="13"/>
      <c r="L69" s="13"/>
      <c r="M69" s="13"/>
      <c r="N69" s="13"/>
      <c r="O69" s="13"/>
    </row>
    <row r="70" spans="2:15">
      <c r="B70" s="13"/>
      <c r="C70" s="13"/>
      <c r="D70" s="13"/>
      <c r="E70" s="13"/>
      <c r="F70" s="13"/>
      <c r="G70" s="13"/>
      <c r="H70" s="13"/>
      <c r="I70" s="13"/>
      <c r="J70" s="13"/>
      <c r="K70" s="13"/>
      <c r="L70" s="13"/>
      <c r="M70" s="13"/>
      <c r="N70" s="13"/>
      <c r="O70" s="13"/>
    </row>
    <row r="71" spans="2:15">
      <c r="B71" s="13"/>
      <c r="C71" s="13"/>
      <c r="D71" s="13"/>
      <c r="E71" s="13"/>
      <c r="F71" s="13"/>
      <c r="G71" s="13"/>
      <c r="H71" s="13"/>
      <c r="I71" s="13"/>
      <c r="J71" s="13"/>
      <c r="K71" s="13"/>
      <c r="L71" s="13"/>
      <c r="M71" s="13"/>
      <c r="N71" s="13"/>
      <c r="O71" s="13"/>
    </row>
    <row r="72" spans="2:15">
      <c r="B72" s="13"/>
      <c r="C72" s="13"/>
      <c r="D72" s="13"/>
      <c r="E72" s="13"/>
      <c r="F72" s="13"/>
      <c r="G72" s="13"/>
      <c r="H72" s="13"/>
      <c r="I72" s="13"/>
      <c r="J72" s="13"/>
      <c r="K72" s="13"/>
      <c r="L72" s="13"/>
      <c r="M72" s="13"/>
      <c r="N72" s="13"/>
      <c r="O72" s="13"/>
    </row>
    <row r="73" spans="2:15">
      <c r="B73" s="13"/>
      <c r="C73" s="13"/>
      <c r="D73" s="13"/>
      <c r="E73" s="13"/>
      <c r="F73" s="13"/>
      <c r="G73" s="13"/>
      <c r="H73" s="13"/>
      <c r="I73" s="13"/>
      <c r="J73" s="13"/>
      <c r="K73" s="13"/>
      <c r="L73" s="13"/>
      <c r="M73" s="13"/>
      <c r="N73" s="13"/>
      <c r="O73" s="13"/>
    </row>
    <row r="74" spans="2:15">
      <c r="B74" s="13"/>
      <c r="C74" s="13"/>
      <c r="D74" s="13"/>
      <c r="E74" s="13"/>
      <c r="F74" s="13"/>
      <c r="G74" s="13"/>
      <c r="H74" s="13"/>
      <c r="I74" s="13"/>
      <c r="J74" s="13"/>
      <c r="K74" s="13"/>
      <c r="L74" s="13"/>
      <c r="M74" s="13"/>
      <c r="N74" s="13"/>
      <c r="O74" s="13"/>
    </row>
    <row r="75" spans="2:15">
      <c r="B75" s="13"/>
      <c r="C75" s="13"/>
      <c r="D75" s="13"/>
      <c r="E75" s="13"/>
      <c r="F75" s="13"/>
      <c r="G75" s="13"/>
      <c r="H75" s="13"/>
      <c r="I75" s="13"/>
      <c r="J75" s="13"/>
      <c r="K75" s="13"/>
      <c r="L75" s="13"/>
      <c r="M75" s="13"/>
      <c r="N75" s="13"/>
      <c r="O75" s="13"/>
    </row>
    <row r="76" spans="2:15">
      <c r="B76" s="13"/>
      <c r="C76" s="13"/>
      <c r="D76" s="13"/>
      <c r="E76" s="13"/>
      <c r="F76" s="13"/>
      <c r="G76" s="13"/>
      <c r="H76" s="13"/>
      <c r="I76" s="13"/>
      <c r="J76" s="13"/>
      <c r="K76" s="13"/>
      <c r="L76" s="13"/>
      <c r="M76" s="13"/>
      <c r="N76" s="13"/>
      <c r="O76" s="13"/>
    </row>
    <row r="77" spans="2:15">
      <c r="B77" s="13"/>
      <c r="C77" s="13"/>
      <c r="D77" s="13"/>
      <c r="E77" s="13"/>
      <c r="F77" s="13"/>
      <c r="G77" s="13"/>
      <c r="H77" s="13"/>
      <c r="I77" s="13"/>
      <c r="J77" s="13"/>
      <c r="K77" s="13"/>
      <c r="L77" s="13"/>
      <c r="M77" s="13"/>
      <c r="N77" s="13"/>
      <c r="O77" s="13"/>
    </row>
    <row r="78" spans="2:15">
      <c r="B78" s="13"/>
      <c r="C78" s="13"/>
      <c r="D78" s="13"/>
      <c r="E78" s="13"/>
      <c r="F78" s="13"/>
      <c r="G78" s="13"/>
      <c r="H78" s="13"/>
      <c r="I78" s="13"/>
      <c r="J78" s="13"/>
      <c r="K78" s="13"/>
      <c r="L78" s="13"/>
      <c r="M78" s="13"/>
      <c r="N78" s="13"/>
      <c r="O78" s="13"/>
    </row>
    <row r="79" spans="2:15">
      <c r="B79" s="13"/>
      <c r="C79" s="13"/>
      <c r="D79" s="13"/>
      <c r="E79" s="13"/>
      <c r="F79" s="13"/>
      <c r="G79" s="13"/>
      <c r="H79" s="13"/>
      <c r="I79" s="13"/>
      <c r="J79" s="13"/>
      <c r="K79" s="13"/>
      <c r="L79" s="13"/>
      <c r="M79" s="13"/>
      <c r="N79" s="13"/>
      <c r="O79" s="13"/>
    </row>
    <row r="80" spans="2:15">
      <c r="B80" s="13"/>
      <c r="C80" s="13"/>
      <c r="D80" s="13"/>
      <c r="E80" s="13"/>
      <c r="F80" s="13"/>
      <c r="G80" s="13"/>
      <c r="H80" s="13"/>
      <c r="I80" s="13"/>
      <c r="J80" s="13"/>
      <c r="K80" s="13"/>
      <c r="L80" s="13"/>
      <c r="M80" s="13"/>
      <c r="N80" s="13"/>
      <c r="O80" s="13"/>
    </row>
    <row r="81" spans="2:15">
      <c r="B81" s="13"/>
      <c r="C81" s="13"/>
      <c r="D81" s="13"/>
      <c r="E81" s="13"/>
      <c r="F81" s="13"/>
      <c r="G81" s="13"/>
      <c r="H81" s="13"/>
      <c r="I81" s="13"/>
      <c r="J81" s="13"/>
      <c r="K81" s="13"/>
      <c r="L81" s="13"/>
      <c r="M81" s="13"/>
      <c r="N81" s="13"/>
      <c r="O81" s="13"/>
    </row>
    <row r="82" spans="2:15">
      <c r="B82" s="13"/>
      <c r="C82" s="13"/>
      <c r="D82" s="13"/>
      <c r="E82" s="13"/>
      <c r="F82" s="13"/>
      <c r="G82" s="13"/>
      <c r="H82" s="13"/>
      <c r="I82" s="13"/>
      <c r="J82" s="13"/>
      <c r="K82" s="13"/>
      <c r="L82" s="13"/>
      <c r="M82" s="13"/>
      <c r="N82" s="13"/>
      <c r="O82" s="13"/>
    </row>
    <row r="83" spans="2:15">
      <c r="B83" s="13"/>
      <c r="C83" s="13"/>
      <c r="D83" s="13"/>
      <c r="E83" s="13"/>
      <c r="F83" s="13"/>
      <c r="G83" s="13"/>
      <c r="H83" s="13"/>
      <c r="I83" s="13"/>
      <c r="J83" s="13"/>
      <c r="K83" s="13"/>
      <c r="L83" s="13"/>
      <c r="M83" s="13"/>
      <c r="N83" s="13"/>
      <c r="O83" s="13"/>
    </row>
    <row r="84" spans="2:15">
      <c r="B84" s="13"/>
      <c r="C84" s="13"/>
      <c r="D84" s="13"/>
      <c r="E84" s="13"/>
      <c r="F84" s="13"/>
      <c r="G84" s="13"/>
      <c r="H84" s="13"/>
      <c r="I84" s="13"/>
      <c r="J84" s="13"/>
      <c r="K84" s="13"/>
      <c r="L84" s="13"/>
      <c r="M84" s="13"/>
      <c r="N84" s="13"/>
      <c r="O84" s="13"/>
    </row>
    <row r="85" spans="2:15">
      <c r="B85" s="13"/>
      <c r="C85" s="13"/>
      <c r="D85" s="13"/>
      <c r="E85" s="13"/>
      <c r="F85" s="13"/>
      <c r="G85" s="13"/>
      <c r="H85" s="13"/>
      <c r="I85" s="13"/>
      <c r="J85" s="13"/>
      <c r="K85" s="13"/>
      <c r="L85" s="13"/>
      <c r="M85" s="13"/>
      <c r="N85" s="13"/>
      <c r="O85" s="13"/>
    </row>
  </sheetData>
  <autoFilter ref="B4:O4" xr:uid="{B3AD53FA-B1B3-4D06-9055-2875654E9E84}"/>
  <mergeCells count="4">
    <mergeCell ref="A3:A4"/>
    <mergeCell ref="B3:B4"/>
    <mergeCell ref="C3:F3"/>
    <mergeCell ref="G3:M3"/>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84C1F-245D-4C18-A54B-DE218FF89D4A}">
  <dimension ref="A1:AU62"/>
  <sheetViews>
    <sheetView showGridLines="0" workbookViewId="0">
      <pane xSplit="4" ySplit="3" topLeftCell="E4" activePane="bottomRight" state="frozen"/>
      <selection pane="bottomRight" activeCell="I13" sqref="I13"/>
      <selection pane="bottomLeft" activeCell="A5" sqref="A5"/>
      <selection pane="topRight" activeCell="C1" sqref="C1"/>
    </sheetView>
  </sheetViews>
  <sheetFormatPr defaultColWidth="9" defaultRowHeight="13.5" outlineLevelCol="1"/>
  <cols>
    <col min="1" max="1" width="6" style="3" customWidth="1"/>
    <col min="2" max="2" width="9.5" style="3" customWidth="1"/>
    <col min="3" max="3" width="23.875" style="4" bestFit="1" customWidth="1"/>
    <col min="4" max="4" width="6.5" style="3" bestFit="1" customWidth="1" outlineLevel="1"/>
    <col min="5" max="5" width="9.5" style="3" customWidth="1" outlineLevel="1"/>
    <col min="6" max="7" width="6.375" style="3" customWidth="1" outlineLevel="1"/>
    <col min="8" max="8" width="8.625" style="3" customWidth="1" outlineLevel="1"/>
    <col min="9" max="9" width="20" style="3" customWidth="1" outlineLevel="1"/>
    <col min="10" max="10" width="10.25" style="3" customWidth="1" outlineLevel="1"/>
    <col min="11" max="11" width="12.125" style="4" customWidth="1"/>
    <col min="12" max="12" width="15" style="4" customWidth="1"/>
    <col min="13" max="13" width="12.25" style="3" customWidth="1" outlineLevel="1"/>
    <col min="14" max="14" width="10.25" style="3" customWidth="1" outlineLevel="1"/>
    <col min="15" max="15" width="12.125" style="3" customWidth="1" outlineLevel="1"/>
    <col min="16" max="17" width="9" style="3" customWidth="1" outlineLevel="1"/>
    <col min="18" max="18" width="13.375" style="3" customWidth="1" outlineLevel="1"/>
    <col min="19" max="19" width="9" style="3" customWidth="1" outlineLevel="1"/>
    <col min="20" max="20" width="11.375" style="3" customWidth="1"/>
    <col min="21" max="21" width="9.625" style="3" customWidth="1"/>
    <col min="22" max="22" width="28.125" style="3" bestFit="1" customWidth="1"/>
    <col min="23" max="23" width="27.125" style="3" customWidth="1"/>
    <col min="24" max="24" width="32.375" style="3" bestFit="1" customWidth="1"/>
    <col min="25" max="25" width="26.875" style="3" bestFit="1" customWidth="1"/>
    <col min="26" max="26" width="27.25" style="3" bestFit="1" customWidth="1"/>
    <col min="27" max="28" width="9" style="3" customWidth="1"/>
    <col min="29" max="29" width="21.375" style="3" bestFit="1" customWidth="1"/>
    <col min="30" max="30" width="21" style="3" customWidth="1"/>
    <col min="31" max="31" width="30.5" style="4" bestFit="1" customWidth="1"/>
    <col min="32" max="32" width="18.375" style="3" bestFit="1" customWidth="1"/>
    <col min="33" max="33" width="14" style="3" customWidth="1" outlineLevel="1"/>
    <col min="34" max="34" width="9" style="3" customWidth="1" outlineLevel="1"/>
    <col min="35" max="36" width="9" style="3" customWidth="1"/>
    <col min="37" max="37" width="40.625" style="4" customWidth="1"/>
    <col min="38" max="45" width="9" style="3"/>
    <col min="46" max="46" width="14.5" style="3" bestFit="1" customWidth="1"/>
    <col min="47" max="47" width="39.5" style="3" customWidth="1"/>
    <col min="48" max="16384" width="9" style="3"/>
  </cols>
  <sheetData>
    <row r="1" spans="1:47">
      <c r="C1" s="4">
        <v>1</v>
      </c>
      <c r="D1" s="3">
        <v>2</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c r="AA1" s="4"/>
      <c r="AB1" s="4">
        <v>26</v>
      </c>
      <c r="AC1" s="4">
        <v>27</v>
      </c>
      <c r="AD1" s="4">
        <v>28</v>
      </c>
      <c r="AE1" s="4">
        <v>29</v>
      </c>
      <c r="AF1" s="4">
        <v>30</v>
      </c>
      <c r="AG1" s="4">
        <v>31</v>
      </c>
      <c r="AH1" s="4">
        <v>32</v>
      </c>
      <c r="AI1" s="4">
        <v>33</v>
      </c>
      <c r="AJ1" s="4">
        <v>34</v>
      </c>
      <c r="AK1" s="4">
        <v>35</v>
      </c>
      <c r="AL1" s="4">
        <v>36</v>
      </c>
      <c r="AM1" s="4">
        <v>37</v>
      </c>
      <c r="AN1" s="4">
        <v>38</v>
      </c>
      <c r="AO1" s="4">
        <v>39</v>
      </c>
      <c r="AP1" s="4">
        <v>40</v>
      </c>
      <c r="AQ1" s="4">
        <v>41</v>
      </c>
      <c r="AR1" s="4"/>
      <c r="AS1" s="4">
        <v>42</v>
      </c>
      <c r="AT1" s="4"/>
      <c r="AU1" s="4">
        <v>42</v>
      </c>
    </row>
    <row r="2" spans="1:47" ht="13.5" customHeight="1">
      <c r="B2" s="103"/>
      <c r="C2" s="103"/>
      <c r="D2" s="5"/>
      <c r="E2" s="110"/>
      <c r="F2" s="110"/>
      <c r="G2" s="110"/>
      <c r="H2" s="253" t="s">
        <v>0</v>
      </c>
      <c r="I2" s="253"/>
      <c r="J2" s="253"/>
      <c r="K2" s="253"/>
      <c r="L2" s="253"/>
      <c r="M2" s="252" t="s">
        <v>1</v>
      </c>
      <c r="N2" s="252"/>
      <c r="O2" s="252"/>
      <c r="P2" s="253" t="s">
        <v>2</v>
      </c>
      <c r="Q2" s="253"/>
      <c r="R2" s="253"/>
      <c r="S2" s="253"/>
      <c r="T2" s="110"/>
      <c r="U2" s="112"/>
      <c r="V2" s="247" t="s">
        <v>3</v>
      </c>
      <c r="W2" s="248"/>
      <c r="X2" s="247" t="s">
        <v>4</v>
      </c>
      <c r="Y2" s="248"/>
      <c r="Z2" s="148"/>
      <c r="AA2" s="253" t="s">
        <v>5</v>
      </c>
      <c r="AB2" s="253"/>
      <c r="AC2" s="253"/>
      <c r="AD2" s="253" t="s">
        <v>6</v>
      </c>
      <c r="AE2" s="253"/>
      <c r="AF2" s="253"/>
      <c r="AG2" s="253" t="s">
        <v>7</v>
      </c>
      <c r="AH2" s="253"/>
      <c r="AI2" s="253"/>
      <c r="AJ2" s="5"/>
      <c r="AK2" s="253" t="s">
        <v>9</v>
      </c>
      <c r="AL2" s="249" t="s">
        <v>10</v>
      </c>
      <c r="AM2" s="250"/>
      <c r="AN2" s="250"/>
      <c r="AO2" s="250"/>
      <c r="AP2" s="250"/>
      <c r="AQ2" s="250"/>
      <c r="AR2" s="250"/>
      <c r="AS2" s="250"/>
      <c r="AT2" s="250"/>
      <c r="AU2" s="251"/>
    </row>
    <row r="3" spans="1:47" ht="41.25" customHeight="1">
      <c r="A3" s="3" t="s">
        <v>11</v>
      </c>
      <c r="B3" s="5" t="s">
        <v>12</v>
      </c>
      <c r="C3" s="5" t="s">
        <v>13</v>
      </c>
      <c r="D3" s="5" t="s">
        <v>14</v>
      </c>
      <c r="E3" s="6" t="s">
        <v>16</v>
      </c>
      <c r="F3" s="6" t="s">
        <v>17</v>
      </c>
      <c r="G3" s="6" t="s">
        <v>18</v>
      </c>
      <c r="H3" s="5" t="s">
        <v>19</v>
      </c>
      <c r="I3" s="5" t="s">
        <v>20</v>
      </c>
      <c r="J3" s="5" t="s">
        <v>21</v>
      </c>
      <c r="K3" s="5" t="s">
        <v>22</v>
      </c>
      <c r="L3" s="5" t="s">
        <v>23</v>
      </c>
      <c r="M3" s="5" t="s">
        <v>20</v>
      </c>
      <c r="N3" s="5" t="s">
        <v>21</v>
      </c>
      <c r="O3" s="5" t="s">
        <v>22</v>
      </c>
      <c r="P3" s="5" t="s">
        <v>24</v>
      </c>
      <c r="Q3" s="5" t="s">
        <v>25</v>
      </c>
      <c r="R3" s="5" t="s">
        <v>26</v>
      </c>
      <c r="S3" s="7" t="s">
        <v>27</v>
      </c>
      <c r="T3" s="6" t="s">
        <v>28</v>
      </c>
      <c r="U3" s="111" t="s">
        <v>29</v>
      </c>
      <c r="V3" s="142" t="s">
        <v>30</v>
      </c>
      <c r="W3" s="142" t="s">
        <v>31</v>
      </c>
      <c r="X3" s="142" t="s">
        <v>30</v>
      </c>
      <c r="Y3" s="142" t="s">
        <v>31</v>
      </c>
      <c r="Z3" s="142" t="s">
        <v>32</v>
      </c>
      <c r="AA3" s="6" t="s">
        <v>33</v>
      </c>
      <c r="AB3" s="5" t="s">
        <v>34</v>
      </c>
      <c r="AC3" s="143" t="s">
        <v>35</v>
      </c>
      <c r="AD3" s="5" t="s">
        <v>36</v>
      </c>
      <c r="AE3" s="7" t="s">
        <v>37</v>
      </c>
      <c r="AF3" s="5" t="s">
        <v>38</v>
      </c>
      <c r="AG3" s="7" t="s">
        <v>39</v>
      </c>
      <c r="AH3" s="5" t="s">
        <v>40</v>
      </c>
      <c r="AI3" s="5" t="s">
        <v>41</v>
      </c>
      <c r="AJ3" s="5" t="s">
        <v>42</v>
      </c>
      <c r="AK3" s="253"/>
      <c r="AL3" s="102" t="s">
        <v>47</v>
      </c>
      <c r="AM3" s="102" t="s">
        <v>48</v>
      </c>
      <c r="AN3" s="102" t="s">
        <v>49</v>
      </c>
      <c r="AO3" s="102" t="s">
        <v>50</v>
      </c>
      <c r="AP3" s="102" t="s">
        <v>51</v>
      </c>
      <c r="AQ3" s="102" t="s">
        <v>52</v>
      </c>
      <c r="AR3" s="102" t="s">
        <v>53</v>
      </c>
      <c r="AS3" s="102" t="s">
        <v>54</v>
      </c>
      <c r="AT3" s="118" t="s">
        <v>55</v>
      </c>
      <c r="AU3" s="102" t="s">
        <v>56</v>
      </c>
    </row>
    <row r="4" spans="1:47" s="20" customFormat="1" ht="18.75" customHeight="1">
      <c r="A4" s="20">
        <v>1</v>
      </c>
      <c r="B4" s="239" t="s">
        <v>57</v>
      </c>
      <c r="C4" s="22" t="s">
        <v>58</v>
      </c>
      <c r="D4" s="21">
        <f>A4</f>
        <v>1</v>
      </c>
      <c r="E4" s="24" t="s">
        <v>60</v>
      </c>
      <c r="F4" s="24"/>
      <c r="G4" s="24"/>
      <c r="H4" s="24" t="s">
        <v>61</v>
      </c>
      <c r="I4" s="24" t="s">
        <v>62</v>
      </c>
      <c r="J4" s="24" t="s">
        <v>63</v>
      </c>
      <c r="K4" s="22" t="s">
        <v>64</v>
      </c>
      <c r="L4" s="22" t="s">
        <v>65</v>
      </c>
      <c r="M4" s="24" t="s">
        <v>66</v>
      </c>
      <c r="N4" s="24" t="s">
        <v>67</v>
      </c>
      <c r="O4" s="24" t="s">
        <v>68</v>
      </c>
      <c r="P4" s="21"/>
      <c r="Q4" s="21"/>
      <c r="R4" s="21"/>
      <c r="S4" s="21"/>
      <c r="T4" s="25">
        <v>2020</v>
      </c>
      <c r="U4" s="25" t="s">
        <v>69</v>
      </c>
      <c r="V4" s="172" t="s">
        <v>70</v>
      </c>
      <c r="W4" s="113" t="s">
        <v>71</v>
      </c>
      <c r="X4" s="172" t="s">
        <v>70</v>
      </c>
      <c r="Y4" s="113" t="s">
        <v>71</v>
      </c>
      <c r="Z4" s="21"/>
      <c r="AA4" s="26" t="s">
        <v>72</v>
      </c>
      <c r="AB4" s="26"/>
      <c r="AC4" s="26" t="s">
        <v>73</v>
      </c>
      <c r="AD4" s="26" t="s">
        <v>74</v>
      </c>
      <c r="AE4" s="27" t="s">
        <v>71</v>
      </c>
      <c r="AF4" s="26" t="s">
        <v>75</v>
      </c>
      <c r="AG4" s="21"/>
      <c r="AH4" s="21"/>
      <c r="AI4" s="21" t="s">
        <v>76</v>
      </c>
      <c r="AJ4" s="21"/>
      <c r="AK4" s="101"/>
      <c r="AL4" s="96" t="s">
        <v>77</v>
      </c>
      <c r="AM4" s="96" t="s">
        <v>77</v>
      </c>
      <c r="AN4" s="96" t="s">
        <v>77</v>
      </c>
      <c r="AO4" s="96" t="s">
        <v>77</v>
      </c>
      <c r="AP4" s="96" t="s">
        <v>77</v>
      </c>
      <c r="AQ4" s="96" t="s">
        <v>77</v>
      </c>
      <c r="AR4" s="96" t="s">
        <v>77</v>
      </c>
      <c r="AS4" s="96" t="s">
        <v>77</v>
      </c>
      <c r="AT4" s="96" t="s">
        <v>78</v>
      </c>
      <c r="AU4" s="114" t="s">
        <v>79</v>
      </c>
    </row>
    <row r="5" spans="1:47" s="20" customFormat="1" ht="18.75" customHeight="1">
      <c r="A5" s="20">
        <v>2</v>
      </c>
      <c r="B5" s="239"/>
      <c r="C5" s="22" t="s">
        <v>80</v>
      </c>
      <c r="D5" s="21">
        <f t="shared" ref="D5:D62" si="0">A5</f>
        <v>2</v>
      </c>
      <c r="E5" s="24" t="s">
        <v>60</v>
      </c>
      <c r="F5" s="24"/>
      <c r="G5" s="24"/>
      <c r="H5" s="24" t="s">
        <v>61</v>
      </c>
      <c r="I5" s="24" t="s">
        <v>82</v>
      </c>
      <c r="J5" s="24" t="s">
        <v>83</v>
      </c>
      <c r="K5" s="29" t="s">
        <v>84</v>
      </c>
      <c r="L5" s="29" t="s">
        <v>85</v>
      </c>
      <c r="M5" s="24" t="s">
        <v>86</v>
      </c>
      <c r="N5" s="24" t="s">
        <v>87</v>
      </c>
      <c r="O5" s="24" t="s">
        <v>88</v>
      </c>
      <c r="P5" s="21"/>
      <c r="Q5" s="21"/>
      <c r="R5" s="21"/>
      <c r="S5" s="21"/>
      <c r="T5" s="30">
        <v>2021</v>
      </c>
      <c r="U5" s="30" t="s">
        <v>89</v>
      </c>
      <c r="V5" s="30" t="s">
        <v>90</v>
      </c>
      <c r="W5" s="30" t="s">
        <v>91</v>
      </c>
      <c r="X5" s="21" t="s">
        <v>92</v>
      </c>
      <c r="Y5" s="30" t="s">
        <v>93</v>
      </c>
      <c r="Z5" s="30"/>
      <c r="AA5" s="26" t="s">
        <v>94</v>
      </c>
      <c r="AB5" s="26" t="s">
        <v>95</v>
      </c>
      <c r="AC5" s="26" t="s">
        <v>96</v>
      </c>
      <c r="AD5" s="26" t="s">
        <v>74</v>
      </c>
      <c r="AE5" s="27" t="s">
        <v>92</v>
      </c>
      <c r="AF5" s="26" t="s">
        <v>75</v>
      </c>
      <c r="AG5" s="21"/>
      <c r="AH5" s="21"/>
      <c r="AI5" s="21" t="s">
        <v>76</v>
      </c>
      <c r="AJ5" s="21" t="s">
        <v>97</v>
      </c>
      <c r="AK5" s="101"/>
      <c r="AL5" s="96" t="s">
        <v>77</v>
      </c>
      <c r="AM5" s="96"/>
      <c r="AN5" s="96"/>
      <c r="AO5" s="96"/>
      <c r="AP5" s="96"/>
      <c r="AQ5" s="96"/>
      <c r="AR5" s="96"/>
      <c r="AS5" s="96"/>
      <c r="AT5" s="96"/>
      <c r="AU5" s="114"/>
    </row>
    <row r="6" spans="1:47" s="42" customFormat="1" ht="18.75" customHeight="1">
      <c r="A6" s="42">
        <v>3</v>
      </c>
      <c r="B6" s="240"/>
      <c r="C6" s="43" t="s">
        <v>98</v>
      </c>
      <c r="D6" s="41">
        <f t="shared" si="0"/>
        <v>3</v>
      </c>
      <c r="E6" s="44" t="s">
        <v>60</v>
      </c>
      <c r="F6" s="45"/>
      <c r="G6" s="45"/>
      <c r="H6" s="44"/>
      <c r="I6" s="44"/>
      <c r="J6" s="44"/>
      <c r="K6" s="46"/>
      <c r="L6" s="46"/>
      <c r="M6" s="44"/>
      <c r="N6" s="44"/>
      <c r="O6" s="24"/>
      <c r="P6" s="41"/>
      <c r="Q6" s="41"/>
      <c r="R6" s="41"/>
      <c r="S6" s="41"/>
      <c r="T6" s="44"/>
      <c r="U6" s="44" t="s">
        <v>100</v>
      </c>
      <c r="V6" s="44"/>
      <c r="W6" s="44"/>
      <c r="X6" s="44"/>
      <c r="Y6" s="44"/>
      <c r="Z6" s="44"/>
      <c r="AA6" s="44"/>
      <c r="AB6" s="41"/>
      <c r="AC6" s="41"/>
      <c r="AD6" s="41"/>
      <c r="AE6" s="43"/>
      <c r="AF6" s="41"/>
      <c r="AG6" s="41"/>
      <c r="AH6" s="41"/>
      <c r="AI6" s="41"/>
      <c r="AJ6" s="41"/>
      <c r="AK6" s="99" t="s">
        <v>101</v>
      </c>
      <c r="AL6" s="97"/>
      <c r="AM6" s="97"/>
      <c r="AN6" s="97"/>
      <c r="AO6" s="97"/>
      <c r="AP6" s="97"/>
      <c r="AQ6" s="97"/>
      <c r="AR6" s="97"/>
      <c r="AS6" s="97"/>
      <c r="AT6" s="97"/>
      <c r="AU6" s="115"/>
    </row>
    <row r="7" spans="1:47" s="42" customFormat="1" ht="18.75" customHeight="1">
      <c r="A7" s="42">
        <v>4</v>
      </c>
      <c r="B7" s="239"/>
      <c r="C7" s="43" t="s">
        <v>102</v>
      </c>
      <c r="D7" s="41">
        <f t="shared" si="0"/>
        <v>4</v>
      </c>
      <c r="E7" s="44" t="s">
        <v>60</v>
      </c>
      <c r="F7" s="45"/>
      <c r="G7" s="45"/>
      <c r="H7" s="44" t="s">
        <v>61</v>
      </c>
      <c r="I7" s="44" t="s">
        <v>62</v>
      </c>
      <c r="J7" s="44" t="s">
        <v>63</v>
      </c>
      <c r="K7" s="43" t="s">
        <v>64</v>
      </c>
      <c r="L7" s="46" t="s">
        <v>104</v>
      </c>
      <c r="M7" s="44" t="s">
        <v>86</v>
      </c>
      <c r="N7" s="44" t="s">
        <v>87</v>
      </c>
      <c r="O7" s="24" t="s">
        <v>105</v>
      </c>
      <c r="P7" s="41"/>
      <c r="Q7" s="41"/>
      <c r="R7" s="41"/>
      <c r="S7" s="41"/>
      <c r="T7" s="44"/>
      <c r="U7" s="44" t="s">
        <v>100</v>
      </c>
      <c r="V7" s="44"/>
      <c r="W7" s="44"/>
      <c r="X7" s="44"/>
      <c r="Y7" s="44"/>
      <c r="Z7" s="44"/>
      <c r="AA7" s="48"/>
      <c r="AB7" s="41"/>
      <c r="AC7" s="41"/>
      <c r="AD7" s="41"/>
      <c r="AE7" s="43"/>
      <c r="AF7" s="41"/>
      <c r="AG7" s="41"/>
      <c r="AH7" s="41"/>
      <c r="AI7" s="41"/>
      <c r="AJ7" s="41"/>
      <c r="AK7" s="99"/>
      <c r="AL7" s="97"/>
      <c r="AM7" s="97"/>
      <c r="AN7" s="97"/>
      <c r="AO7" s="97"/>
      <c r="AP7" s="97"/>
      <c r="AQ7" s="97"/>
      <c r="AR7" s="97"/>
      <c r="AS7" s="96" t="s">
        <v>77</v>
      </c>
      <c r="AT7" s="96" t="s">
        <v>78</v>
      </c>
      <c r="AU7" s="114" t="s">
        <v>106</v>
      </c>
    </row>
    <row r="8" spans="1:47" s="20" customFormat="1" ht="18.75" customHeight="1">
      <c r="A8" s="20">
        <v>5</v>
      </c>
      <c r="B8" s="239"/>
      <c r="C8" s="22" t="s">
        <v>107</v>
      </c>
      <c r="D8" s="21">
        <f t="shared" si="0"/>
        <v>5</v>
      </c>
      <c r="E8" s="24" t="s">
        <v>60</v>
      </c>
      <c r="F8" s="31"/>
      <c r="G8" s="31"/>
      <c r="H8" s="24" t="s">
        <v>61</v>
      </c>
      <c r="I8" s="24" t="s">
        <v>62</v>
      </c>
      <c r="J8" s="24" t="s">
        <v>63</v>
      </c>
      <c r="K8" s="29" t="s">
        <v>109</v>
      </c>
      <c r="L8" s="29" t="s">
        <v>110</v>
      </c>
      <c r="M8" s="24" t="s">
        <v>86</v>
      </c>
      <c r="N8" s="24" t="s">
        <v>87</v>
      </c>
      <c r="O8" s="24" t="s">
        <v>68</v>
      </c>
      <c r="P8" s="21"/>
      <c r="Q8" s="21"/>
      <c r="R8" s="21"/>
      <c r="S8" s="21"/>
      <c r="T8" s="24">
        <v>2008</v>
      </c>
      <c r="U8" s="24" t="s">
        <v>89</v>
      </c>
      <c r="V8" s="24" t="s">
        <v>100</v>
      </c>
      <c r="W8" s="24" t="s">
        <v>100</v>
      </c>
      <c r="X8" s="24" t="s">
        <v>100</v>
      </c>
      <c r="Y8" s="24" t="s">
        <v>111</v>
      </c>
      <c r="Z8" s="24"/>
      <c r="AA8" s="24" t="s">
        <v>94</v>
      </c>
      <c r="AB8" s="21" t="s">
        <v>95</v>
      </c>
      <c r="AC8" s="26" t="s">
        <v>96</v>
      </c>
      <c r="AD8" s="21" t="s">
        <v>111</v>
      </c>
      <c r="AE8" s="22" t="s">
        <v>111</v>
      </c>
      <c r="AF8" s="21" t="s">
        <v>111</v>
      </c>
      <c r="AG8" s="21"/>
      <c r="AH8" s="21"/>
      <c r="AI8" s="21"/>
      <c r="AJ8" s="21"/>
      <c r="AK8" s="101"/>
      <c r="AL8" s="96" t="s">
        <v>77</v>
      </c>
      <c r="AM8" s="96" t="s">
        <v>77</v>
      </c>
      <c r="AN8" s="96"/>
      <c r="AO8" s="96"/>
      <c r="AP8" s="96"/>
      <c r="AQ8" s="96"/>
      <c r="AR8" s="96"/>
      <c r="AS8" s="96"/>
      <c r="AT8" s="96"/>
      <c r="AU8" s="114"/>
    </row>
    <row r="9" spans="1:47" s="42" customFormat="1" ht="18.75" customHeight="1">
      <c r="A9" s="42">
        <v>6</v>
      </c>
      <c r="B9" s="239"/>
      <c r="C9" s="43" t="s">
        <v>112</v>
      </c>
      <c r="D9" s="41">
        <f t="shared" si="0"/>
        <v>6</v>
      </c>
      <c r="E9" s="44" t="s">
        <v>60</v>
      </c>
      <c r="F9" s="45"/>
      <c r="G9" s="45"/>
      <c r="H9" s="44" t="s">
        <v>61</v>
      </c>
      <c r="I9" s="44" t="s">
        <v>62</v>
      </c>
      <c r="J9" s="44" t="s">
        <v>63</v>
      </c>
      <c r="K9" s="43" t="s">
        <v>64</v>
      </c>
      <c r="L9" s="46" t="s">
        <v>114</v>
      </c>
      <c r="M9" s="44" t="s">
        <v>86</v>
      </c>
      <c r="N9" s="44" t="s">
        <v>87</v>
      </c>
      <c r="O9" s="24" t="s">
        <v>68</v>
      </c>
      <c r="P9" s="41"/>
      <c r="Q9" s="41"/>
      <c r="R9" s="41"/>
      <c r="S9" s="41"/>
      <c r="T9" s="50"/>
      <c r="U9" s="44" t="s">
        <v>100</v>
      </c>
      <c r="V9" s="50"/>
      <c r="W9" s="50"/>
      <c r="X9" s="50"/>
      <c r="Y9" s="50"/>
      <c r="Z9" s="50"/>
      <c r="AA9" s="44"/>
      <c r="AB9" s="48"/>
      <c r="AC9" s="48"/>
      <c r="AD9" s="48"/>
      <c r="AE9" s="51"/>
      <c r="AF9" s="48"/>
      <c r="AG9" s="41"/>
      <c r="AH9" s="41"/>
      <c r="AI9" s="41"/>
      <c r="AJ9" s="41"/>
      <c r="AK9" s="170"/>
      <c r="AL9" s="96"/>
      <c r="AM9" s="96"/>
      <c r="AN9" s="96"/>
      <c r="AO9" s="96"/>
      <c r="AP9" s="96"/>
      <c r="AQ9" s="96"/>
      <c r="AR9" s="96"/>
      <c r="AS9" s="96"/>
      <c r="AT9" s="96"/>
      <c r="AU9" s="114"/>
    </row>
    <row r="10" spans="1:47" s="20" customFormat="1" ht="18.75" customHeight="1">
      <c r="A10" s="20">
        <v>7</v>
      </c>
      <c r="B10" s="239"/>
      <c r="C10" s="22" t="s">
        <v>115</v>
      </c>
      <c r="D10" s="21">
        <f t="shared" si="0"/>
        <v>7</v>
      </c>
      <c r="E10" s="24" t="s">
        <v>60</v>
      </c>
      <c r="F10" s="31"/>
      <c r="G10" s="31"/>
      <c r="H10" s="24" t="s">
        <v>61</v>
      </c>
      <c r="I10" s="24" t="s">
        <v>62</v>
      </c>
      <c r="J10" s="24" t="s">
        <v>63</v>
      </c>
      <c r="K10" s="22" t="s">
        <v>64</v>
      </c>
      <c r="L10" s="29" t="s">
        <v>117</v>
      </c>
      <c r="M10" s="24" t="s">
        <v>86</v>
      </c>
      <c r="N10" s="24" t="s">
        <v>87</v>
      </c>
      <c r="O10" s="24" t="s">
        <v>68</v>
      </c>
      <c r="P10" s="26"/>
      <c r="Q10" s="26"/>
      <c r="R10" s="26"/>
      <c r="S10" s="26"/>
      <c r="T10" s="21">
        <v>2001</v>
      </c>
      <c r="U10" s="25" t="s">
        <v>69</v>
      </c>
      <c r="V10" s="21" t="s">
        <v>118</v>
      </c>
      <c r="W10" s="113" t="s">
        <v>119</v>
      </c>
      <c r="X10" s="21" t="s">
        <v>92</v>
      </c>
      <c r="Y10" s="113" t="s">
        <v>119</v>
      </c>
      <c r="Z10" s="21"/>
      <c r="AA10" s="24" t="s">
        <v>72</v>
      </c>
      <c r="AB10" s="21"/>
      <c r="AC10" s="113" t="s">
        <v>120</v>
      </c>
      <c r="AD10" s="32" t="s">
        <v>121</v>
      </c>
      <c r="AE10" s="33" t="s">
        <v>92</v>
      </c>
      <c r="AF10" s="32" t="s">
        <v>121</v>
      </c>
      <c r="AG10" s="21"/>
      <c r="AH10" s="21"/>
      <c r="AI10" s="21"/>
      <c r="AJ10" s="21"/>
      <c r="AK10" s="171"/>
      <c r="AL10" s="96" t="s">
        <v>77</v>
      </c>
      <c r="AM10" s="96" t="s">
        <v>77</v>
      </c>
      <c r="AN10" s="96" t="s">
        <v>77</v>
      </c>
      <c r="AO10" s="96" t="s">
        <v>77</v>
      </c>
      <c r="AP10" s="96" t="s">
        <v>77</v>
      </c>
      <c r="AQ10" s="96" t="s">
        <v>77</v>
      </c>
      <c r="AR10" s="96" t="s">
        <v>77</v>
      </c>
      <c r="AS10" s="96"/>
      <c r="AT10" s="96"/>
      <c r="AU10" s="114"/>
    </row>
    <row r="11" spans="1:47" s="20" customFormat="1" ht="18.75" customHeight="1">
      <c r="A11" s="20">
        <v>8</v>
      </c>
      <c r="B11" s="239"/>
      <c r="C11" s="22" t="s">
        <v>122</v>
      </c>
      <c r="D11" s="21">
        <f t="shared" si="0"/>
        <v>8</v>
      </c>
      <c r="E11" s="24" t="s">
        <v>60</v>
      </c>
      <c r="F11" s="31"/>
      <c r="G11" s="31"/>
      <c r="H11" s="24" t="s">
        <v>61</v>
      </c>
      <c r="I11" s="24" t="s">
        <v>62</v>
      </c>
      <c r="J11" s="24" t="s">
        <v>63</v>
      </c>
      <c r="K11" s="22" t="s">
        <v>64</v>
      </c>
      <c r="L11" s="22" t="s">
        <v>124</v>
      </c>
      <c r="M11" s="24" t="s">
        <v>86</v>
      </c>
      <c r="N11" s="24" t="s">
        <v>87</v>
      </c>
      <c r="O11" s="24" t="s">
        <v>105</v>
      </c>
      <c r="P11" s="21"/>
      <c r="Q11" s="21"/>
      <c r="R11" s="26"/>
      <c r="S11" s="26"/>
      <c r="T11" s="24">
        <v>2022</v>
      </c>
      <c r="U11" s="25" t="s">
        <v>69</v>
      </c>
      <c r="V11" s="24" t="s">
        <v>100</v>
      </c>
      <c r="W11" s="24" t="s">
        <v>100</v>
      </c>
      <c r="X11" s="24" t="s">
        <v>125</v>
      </c>
      <c r="Y11" s="24" t="s">
        <v>126</v>
      </c>
      <c r="Z11" s="21"/>
      <c r="AA11" s="24" t="s">
        <v>94</v>
      </c>
      <c r="AB11" s="21" t="s">
        <v>95</v>
      </c>
      <c r="AC11" s="21" t="s">
        <v>121</v>
      </c>
      <c r="AD11" s="26" t="s">
        <v>121</v>
      </c>
      <c r="AE11" s="27" t="s">
        <v>121</v>
      </c>
      <c r="AF11" s="26" t="s">
        <v>121</v>
      </c>
      <c r="AG11" s="21"/>
      <c r="AH11" s="21"/>
      <c r="AI11" s="21"/>
      <c r="AJ11" s="21"/>
      <c r="AK11" s="171"/>
      <c r="AL11" s="96" t="s">
        <v>77</v>
      </c>
      <c r="AM11" s="96" t="s">
        <v>77</v>
      </c>
      <c r="AN11" s="96"/>
      <c r="AO11" s="96"/>
      <c r="AP11" s="96"/>
      <c r="AQ11" s="96"/>
      <c r="AR11" s="96" t="s">
        <v>77</v>
      </c>
      <c r="AS11" s="96"/>
      <c r="AT11" s="96"/>
      <c r="AU11" s="114"/>
    </row>
    <row r="12" spans="1:47" s="20" customFormat="1" ht="18.75" customHeight="1">
      <c r="A12" s="20">
        <v>9</v>
      </c>
      <c r="B12" s="239"/>
      <c r="C12" s="22" t="s">
        <v>129</v>
      </c>
      <c r="D12" s="21">
        <f t="shared" si="0"/>
        <v>9</v>
      </c>
      <c r="E12" s="24" t="s">
        <v>60</v>
      </c>
      <c r="F12" s="31"/>
      <c r="G12" s="31"/>
      <c r="H12" s="24" t="s">
        <v>61</v>
      </c>
      <c r="I12" s="24" t="s">
        <v>62</v>
      </c>
      <c r="J12" s="24" t="s">
        <v>63</v>
      </c>
      <c r="K12" s="22" t="s">
        <v>64</v>
      </c>
      <c r="L12" s="22" t="s">
        <v>131</v>
      </c>
      <c r="M12" s="21" t="s">
        <v>86</v>
      </c>
      <c r="N12" s="21" t="s">
        <v>87</v>
      </c>
      <c r="O12" s="21" t="s">
        <v>105</v>
      </c>
      <c r="P12" s="21"/>
      <c r="Q12" s="21"/>
      <c r="R12" s="26"/>
      <c r="S12" s="26"/>
      <c r="T12" s="21">
        <v>2023</v>
      </c>
      <c r="U12" s="25" t="s">
        <v>69</v>
      </c>
      <c r="V12" s="21" t="s">
        <v>132</v>
      </c>
      <c r="W12" s="21" t="s">
        <v>133</v>
      </c>
      <c r="X12" s="21" t="s">
        <v>134</v>
      </c>
      <c r="Y12" s="21" t="s">
        <v>135</v>
      </c>
      <c r="Z12" s="21" t="s">
        <v>136</v>
      </c>
      <c r="AA12" s="21" t="s">
        <v>94</v>
      </c>
      <c r="AB12" s="21" t="s">
        <v>95</v>
      </c>
      <c r="AC12" s="124" t="s">
        <v>137</v>
      </c>
      <c r="AD12" s="21" t="s">
        <v>121</v>
      </c>
      <c r="AE12" s="22"/>
      <c r="AF12" s="21" t="s">
        <v>139</v>
      </c>
      <c r="AG12" s="21"/>
      <c r="AH12" s="21"/>
      <c r="AI12" s="21"/>
      <c r="AJ12" s="21"/>
      <c r="AK12" s="137" t="s">
        <v>101</v>
      </c>
      <c r="AL12" s="96" t="s">
        <v>77</v>
      </c>
      <c r="AM12" s="96" t="s">
        <v>77</v>
      </c>
      <c r="AN12" s="107"/>
      <c r="AO12" s="107"/>
      <c r="AP12" s="107"/>
      <c r="AQ12" s="107"/>
      <c r="AR12" s="96"/>
      <c r="AS12" s="96"/>
      <c r="AT12" s="96"/>
      <c r="AU12" s="114"/>
    </row>
    <row r="13" spans="1:47" s="20" customFormat="1" ht="18.75" customHeight="1">
      <c r="B13" s="239"/>
      <c r="C13" s="22" t="s">
        <v>140</v>
      </c>
      <c r="D13" s="21">
        <f t="shared" si="0"/>
        <v>0</v>
      </c>
      <c r="E13" s="21" t="s">
        <v>60</v>
      </c>
      <c r="F13" s="21"/>
      <c r="G13" s="21"/>
      <c r="H13" s="21" t="s">
        <v>142</v>
      </c>
      <c r="I13" s="21" t="s">
        <v>62</v>
      </c>
      <c r="J13" s="21" t="s">
        <v>63</v>
      </c>
      <c r="K13" s="22" t="s">
        <v>64</v>
      </c>
      <c r="L13" s="22" t="s">
        <v>131</v>
      </c>
      <c r="M13" s="21" t="s">
        <v>86</v>
      </c>
      <c r="N13" s="21" t="s">
        <v>87</v>
      </c>
      <c r="O13" s="21" t="s">
        <v>105</v>
      </c>
      <c r="P13" s="21"/>
      <c r="Q13" s="21"/>
      <c r="R13" s="26"/>
      <c r="S13" s="26"/>
      <c r="T13" s="21">
        <v>2023</v>
      </c>
      <c r="U13" s="25" t="s">
        <v>69</v>
      </c>
      <c r="V13" s="21" t="s">
        <v>143</v>
      </c>
      <c r="W13" s="21" t="s">
        <v>144</v>
      </c>
      <c r="X13" s="21" t="s">
        <v>92</v>
      </c>
      <c r="Y13" s="21" t="s">
        <v>145</v>
      </c>
      <c r="Z13" s="21"/>
      <c r="AA13" s="21" t="s">
        <v>72</v>
      </c>
      <c r="AB13" s="21"/>
      <c r="AC13" s="21" t="s">
        <v>146</v>
      </c>
      <c r="AD13" s="21" t="s">
        <v>121</v>
      </c>
      <c r="AE13" s="22"/>
      <c r="AF13" s="21" t="s">
        <v>139</v>
      </c>
      <c r="AG13" s="21"/>
      <c r="AH13" s="21"/>
      <c r="AI13" s="21"/>
      <c r="AJ13" s="21"/>
      <c r="AK13" s="136" t="s">
        <v>101</v>
      </c>
      <c r="AL13" s="96" t="s">
        <v>77</v>
      </c>
      <c r="AM13" s="96" t="s">
        <v>77</v>
      </c>
      <c r="AN13" s="107"/>
      <c r="AO13" s="107"/>
      <c r="AP13" s="107"/>
      <c r="AQ13" s="107"/>
      <c r="AR13" s="96"/>
      <c r="AS13" s="96"/>
      <c r="AT13" s="96"/>
      <c r="AU13" s="114"/>
    </row>
    <row r="14" spans="1:47" s="42" customFormat="1" ht="18.75" customHeight="1">
      <c r="A14" s="42">
        <v>10</v>
      </c>
      <c r="B14" s="240"/>
      <c r="C14" s="43" t="s">
        <v>1170</v>
      </c>
      <c r="D14" s="41">
        <f t="shared" si="0"/>
        <v>10</v>
      </c>
      <c r="E14" s="44" t="s">
        <v>60</v>
      </c>
      <c r="F14" s="45"/>
      <c r="G14" s="45"/>
      <c r="H14" s="44"/>
      <c r="I14" s="44"/>
      <c r="J14" s="44"/>
      <c r="K14" s="46"/>
      <c r="L14" s="46"/>
      <c r="M14" s="41"/>
      <c r="N14" s="41"/>
      <c r="O14" s="21"/>
      <c r="P14" s="41"/>
      <c r="Q14" s="41"/>
      <c r="R14" s="48"/>
      <c r="S14" s="48"/>
      <c r="T14" s="41"/>
      <c r="U14" s="44" t="s">
        <v>100</v>
      </c>
      <c r="V14" s="41"/>
      <c r="W14" s="41"/>
      <c r="X14" s="41"/>
      <c r="Y14" s="41"/>
      <c r="Z14" s="41"/>
      <c r="AA14" s="41"/>
      <c r="AB14" s="41"/>
      <c r="AC14" s="41"/>
      <c r="AD14" s="41"/>
      <c r="AE14" s="43"/>
      <c r="AF14" s="41"/>
      <c r="AG14" s="41"/>
      <c r="AH14" s="41"/>
      <c r="AI14" s="41"/>
      <c r="AJ14" s="41"/>
      <c r="AK14" s="136" t="s">
        <v>101</v>
      </c>
      <c r="AL14" s="96" t="s">
        <v>77</v>
      </c>
      <c r="AM14" s="96" t="s">
        <v>77</v>
      </c>
      <c r="AN14" s="96"/>
      <c r="AO14" s="96"/>
      <c r="AP14" s="96"/>
      <c r="AQ14" s="96"/>
      <c r="AR14" s="96"/>
      <c r="AS14" s="96"/>
      <c r="AT14" s="96"/>
      <c r="AU14" s="114"/>
    </row>
    <row r="15" spans="1:47" s="20" customFormat="1" ht="18.75" customHeight="1">
      <c r="A15" s="20">
        <v>11</v>
      </c>
      <c r="B15" s="239"/>
      <c r="C15" s="22" t="s">
        <v>148</v>
      </c>
      <c r="D15" s="21">
        <f t="shared" si="0"/>
        <v>11</v>
      </c>
      <c r="E15" s="24" t="s">
        <v>60</v>
      </c>
      <c r="F15" s="21"/>
      <c r="G15" s="21"/>
      <c r="H15" s="24" t="s">
        <v>61</v>
      </c>
      <c r="I15" s="24" t="s">
        <v>62</v>
      </c>
      <c r="J15" s="24" t="s">
        <v>63</v>
      </c>
      <c r="K15" s="22" t="s">
        <v>64</v>
      </c>
      <c r="L15" s="22" t="s">
        <v>150</v>
      </c>
      <c r="M15" s="21" t="s">
        <v>86</v>
      </c>
      <c r="N15" s="21" t="s">
        <v>87</v>
      </c>
      <c r="O15" s="21" t="s">
        <v>68</v>
      </c>
      <c r="P15" s="21"/>
      <c r="Q15" s="21"/>
      <c r="R15" s="21"/>
      <c r="S15" s="21"/>
      <c r="T15" s="21">
        <v>2022</v>
      </c>
      <c r="U15" s="25" t="s">
        <v>69</v>
      </c>
      <c r="V15" s="24" t="s">
        <v>90</v>
      </c>
      <c r="W15" s="21" t="s">
        <v>151</v>
      </c>
      <c r="X15" s="21" t="s">
        <v>92</v>
      </c>
      <c r="Y15" s="21" t="s">
        <v>152</v>
      </c>
      <c r="Z15" s="21"/>
      <c r="AA15" s="21" t="s">
        <v>94</v>
      </c>
      <c r="AB15" s="21" t="s">
        <v>95</v>
      </c>
      <c r="AC15" s="21" t="s">
        <v>96</v>
      </c>
      <c r="AD15" s="21" t="s">
        <v>74</v>
      </c>
      <c r="AE15" s="22" t="s">
        <v>92</v>
      </c>
      <c r="AF15" s="26" t="s">
        <v>75</v>
      </c>
      <c r="AG15" s="21"/>
      <c r="AH15" s="21"/>
      <c r="AI15" s="21" t="s">
        <v>76</v>
      </c>
      <c r="AJ15" s="21"/>
      <c r="AK15" s="101"/>
      <c r="AL15" s="96" t="s">
        <v>77</v>
      </c>
      <c r="AM15" s="96" t="s">
        <v>77</v>
      </c>
      <c r="AN15" s="96" t="s">
        <v>77</v>
      </c>
      <c r="AO15" s="96" t="s">
        <v>77</v>
      </c>
      <c r="AP15" s="96" t="s">
        <v>77</v>
      </c>
      <c r="AQ15" s="96" t="s">
        <v>77</v>
      </c>
      <c r="AR15" s="96"/>
      <c r="AS15" s="96" t="s">
        <v>77</v>
      </c>
      <c r="AT15" s="96"/>
      <c r="AU15" s="114" t="s">
        <v>153</v>
      </c>
    </row>
    <row r="16" spans="1:47" s="20" customFormat="1" ht="18.75" customHeight="1">
      <c r="A16" s="20">
        <v>12</v>
      </c>
      <c r="B16" s="239"/>
      <c r="C16" s="22" t="s">
        <v>154</v>
      </c>
      <c r="D16" s="21">
        <f t="shared" si="0"/>
        <v>12</v>
      </c>
      <c r="E16" s="24" t="s">
        <v>60</v>
      </c>
      <c r="F16" s="21"/>
      <c r="G16" s="21"/>
      <c r="H16" s="24" t="s">
        <v>61</v>
      </c>
      <c r="I16" s="24" t="s">
        <v>62</v>
      </c>
      <c r="J16" s="24" t="s">
        <v>63</v>
      </c>
      <c r="K16" s="29" t="s">
        <v>64</v>
      </c>
      <c r="L16" s="22" t="s">
        <v>156</v>
      </c>
      <c r="M16" s="21" t="s">
        <v>86</v>
      </c>
      <c r="N16" s="21" t="s">
        <v>87</v>
      </c>
      <c r="O16" s="21" t="s">
        <v>68</v>
      </c>
      <c r="P16" s="21"/>
      <c r="Q16" s="21"/>
      <c r="R16" s="21"/>
      <c r="S16" s="21"/>
      <c r="T16" s="21">
        <v>2021</v>
      </c>
      <c r="U16" s="24" t="s">
        <v>89</v>
      </c>
      <c r="V16" s="24" t="s">
        <v>157</v>
      </c>
      <c r="W16" s="21" t="s">
        <v>158</v>
      </c>
      <c r="X16" s="21" t="s">
        <v>92</v>
      </c>
      <c r="Y16" s="24" t="s">
        <v>159</v>
      </c>
      <c r="Z16" s="21"/>
      <c r="AA16" s="21" t="s">
        <v>94</v>
      </c>
      <c r="AB16" s="21" t="s">
        <v>95</v>
      </c>
      <c r="AC16" s="21" t="s">
        <v>96</v>
      </c>
      <c r="AD16" s="21"/>
      <c r="AE16" s="22" t="s">
        <v>92</v>
      </c>
      <c r="AF16" s="21" t="s">
        <v>161</v>
      </c>
      <c r="AG16" s="21"/>
      <c r="AH16" s="21"/>
      <c r="AI16" s="21"/>
      <c r="AJ16" s="21"/>
      <c r="AK16" s="101"/>
      <c r="AL16" s="96" t="s">
        <v>77</v>
      </c>
      <c r="AM16" s="96" t="s">
        <v>77</v>
      </c>
      <c r="AN16" s="96" t="s">
        <v>77</v>
      </c>
      <c r="AO16" s="96"/>
      <c r="AP16" s="96"/>
      <c r="AQ16" s="96"/>
      <c r="AR16" s="96" t="s">
        <v>77</v>
      </c>
      <c r="AS16" s="96"/>
      <c r="AT16" s="96"/>
      <c r="AU16" s="114"/>
    </row>
    <row r="17" spans="1:47" s="20" customFormat="1" ht="18.75" customHeight="1">
      <c r="A17" s="20">
        <v>13</v>
      </c>
      <c r="B17" s="239" t="s">
        <v>162</v>
      </c>
      <c r="C17" s="22" t="s">
        <v>163</v>
      </c>
      <c r="D17" s="21">
        <f t="shared" si="0"/>
        <v>13</v>
      </c>
      <c r="E17" s="24" t="s">
        <v>60</v>
      </c>
      <c r="F17" s="21"/>
      <c r="G17" s="21"/>
      <c r="H17" s="24" t="s">
        <v>61</v>
      </c>
      <c r="I17" s="24" t="s">
        <v>62</v>
      </c>
      <c r="J17" s="24" t="s">
        <v>63</v>
      </c>
      <c r="K17" s="22" t="s">
        <v>64</v>
      </c>
      <c r="L17" s="22" t="s">
        <v>165</v>
      </c>
      <c r="M17" s="21" t="s">
        <v>86</v>
      </c>
      <c r="N17" s="21" t="s">
        <v>87</v>
      </c>
      <c r="O17" s="21" t="s">
        <v>68</v>
      </c>
      <c r="P17" s="21"/>
      <c r="Q17" s="21"/>
      <c r="R17" s="21"/>
      <c r="S17" s="21"/>
      <c r="T17" s="21">
        <v>2023</v>
      </c>
      <c r="U17" s="24" t="s">
        <v>89</v>
      </c>
      <c r="V17" s="21" t="s">
        <v>166</v>
      </c>
      <c r="W17" s="21" t="s">
        <v>167</v>
      </c>
      <c r="X17" s="21" t="s">
        <v>92</v>
      </c>
      <c r="Y17" s="21" t="s">
        <v>168</v>
      </c>
      <c r="Z17" s="21"/>
      <c r="AA17" s="21" t="s">
        <v>94</v>
      </c>
      <c r="AB17" s="21" t="s">
        <v>95</v>
      </c>
      <c r="AC17" s="21" t="s">
        <v>96</v>
      </c>
      <c r="AD17" s="21" t="s">
        <v>169</v>
      </c>
      <c r="AE17" s="22" t="s">
        <v>170</v>
      </c>
      <c r="AF17" s="26" t="s">
        <v>75</v>
      </c>
      <c r="AG17" s="21"/>
      <c r="AH17" s="21"/>
      <c r="AI17" s="21"/>
      <c r="AJ17" s="21"/>
      <c r="AK17" s="101"/>
      <c r="AL17" s="96" t="s">
        <v>77</v>
      </c>
      <c r="AM17" s="96"/>
      <c r="AN17" s="96"/>
      <c r="AO17" s="96"/>
      <c r="AP17" s="96"/>
      <c r="AQ17" s="96"/>
      <c r="AR17" s="96"/>
      <c r="AS17" s="96"/>
      <c r="AT17" s="96"/>
      <c r="AU17" s="114"/>
    </row>
    <row r="18" spans="1:47" s="20" customFormat="1" ht="18.75" customHeight="1">
      <c r="A18" s="20">
        <v>14</v>
      </c>
      <c r="B18" s="239"/>
      <c r="C18" s="22" t="s">
        <v>171</v>
      </c>
      <c r="D18" s="21">
        <f t="shared" si="0"/>
        <v>14</v>
      </c>
      <c r="E18" s="24" t="s">
        <v>60</v>
      </c>
      <c r="F18" s="21"/>
      <c r="G18" s="21"/>
      <c r="H18" s="24" t="s">
        <v>61</v>
      </c>
      <c r="I18" s="24" t="s">
        <v>62</v>
      </c>
      <c r="J18" s="24" t="s">
        <v>63</v>
      </c>
      <c r="K18" s="22" t="s">
        <v>64</v>
      </c>
      <c r="L18" s="29" t="s">
        <v>173</v>
      </c>
      <c r="M18" s="21" t="s">
        <v>86</v>
      </c>
      <c r="N18" s="21" t="s">
        <v>87</v>
      </c>
      <c r="O18" s="21" t="s">
        <v>68</v>
      </c>
      <c r="P18" s="21"/>
      <c r="Q18" s="21"/>
      <c r="R18" s="21"/>
      <c r="S18" s="21"/>
      <c r="T18" s="21">
        <v>2020</v>
      </c>
      <c r="U18" s="25" t="s">
        <v>69</v>
      </c>
      <c r="V18" s="24" t="s">
        <v>174</v>
      </c>
      <c r="W18" s="21" t="s">
        <v>175</v>
      </c>
      <c r="X18" s="24" t="s">
        <v>100</v>
      </c>
      <c r="Y18" s="24" t="s">
        <v>100</v>
      </c>
      <c r="Z18" s="24"/>
      <c r="AA18" s="26" t="s">
        <v>72</v>
      </c>
      <c r="AB18" s="21"/>
      <c r="AC18" s="21" t="s">
        <v>121</v>
      </c>
      <c r="AD18" s="21" t="s">
        <v>121</v>
      </c>
      <c r="AE18" s="29" t="s">
        <v>176</v>
      </c>
      <c r="AF18" s="21" t="s">
        <v>121</v>
      </c>
      <c r="AG18" s="21"/>
      <c r="AH18" s="21"/>
      <c r="AI18" s="21"/>
      <c r="AJ18" s="21"/>
      <c r="AK18" s="101"/>
      <c r="AL18" s="96"/>
      <c r="AM18" s="96" t="s">
        <v>77</v>
      </c>
      <c r="AN18" s="96" t="s">
        <v>77</v>
      </c>
      <c r="AO18" s="96"/>
      <c r="AP18" s="96"/>
      <c r="AQ18" s="96"/>
      <c r="AR18" s="96"/>
      <c r="AS18" s="96" t="s">
        <v>77</v>
      </c>
      <c r="AT18" s="96"/>
      <c r="AU18" s="114" t="s">
        <v>177</v>
      </c>
    </row>
    <row r="19" spans="1:47" s="34" customFormat="1" ht="18.75" customHeight="1">
      <c r="A19" s="34">
        <v>15</v>
      </c>
      <c r="B19" s="239" t="s">
        <v>178</v>
      </c>
      <c r="C19" s="35" t="s">
        <v>179</v>
      </c>
      <c r="D19" s="37">
        <f t="shared" si="0"/>
        <v>15</v>
      </c>
      <c r="E19" s="36" t="s">
        <v>60</v>
      </c>
      <c r="F19" s="37"/>
      <c r="G19" s="37"/>
      <c r="H19" s="36" t="s">
        <v>61</v>
      </c>
      <c r="I19" s="36" t="s">
        <v>62</v>
      </c>
      <c r="J19" s="36" t="s">
        <v>63</v>
      </c>
      <c r="K19" s="35" t="s">
        <v>109</v>
      </c>
      <c r="L19" s="35" t="s">
        <v>181</v>
      </c>
      <c r="M19" s="37" t="s">
        <v>86</v>
      </c>
      <c r="N19" s="37" t="s">
        <v>87</v>
      </c>
      <c r="O19" s="21" t="s">
        <v>68</v>
      </c>
      <c r="P19" s="37"/>
      <c r="Q19" s="37"/>
      <c r="R19" s="37"/>
      <c r="S19" s="37"/>
      <c r="T19" s="37">
        <v>2017</v>
      </c>
      <c r="U19" s="37" t="s">
        <v>69</v>
      </c>
      <c r="V19" s="37"/>
      <c r="W19" s="37"/>
      <c r="X19" s="37"/>
      <c r="Y19" s="37"/>
      <c r="Z19" s="37"/>
      <c r="AA19" s="37" t="s">
        <v>94</v>
      </c>
      <c r="AB19" s="37" t="s">
        <v>95</v>
      </c>
      <c r="AC19" s="37" t="s">
        <v>96</v>
      </c>
      <c r="AD19" s="37" t="s">
        <v>74</v>
      </c>
      <c r="AE19" s="52" t="s">
        <v>182</v>
      </c>
      <c r="AF19" s="39" t="s">
        <v>75</v>
      </c>
      <c r="AG19" s="37"/>
      <c r="AH19" s="37"/>
      <c r="AI19" s="37"/>
      <c r="AJ19" s="37"/>
      <c r="AK19" s="100"/>
      <c r="AL19" s="98" t="s">
        <v>77</v>
      </c>
      <c r="AM19" s="98"/>
      <c r="AN19" s="98"/>
      <c r="AO19" s="98"/>
      <c r="AP19" s="98"/>
      <c r="AQ19" s="98"/>
      <c r="AR19" s="98"/>
      <c r="AS19" s="98"/>
      <c r="AT19" s="98"/>
      <c r="AU19" s="116"/>
    </row>
    <row r="20" spans="1:47" s="20" customFormat="1" ht="18.75" customHeight="1">
      <c r="A20" s="20">
        <v>16</v>
      </c>
      <c r="B20" s="239"/>
      <c r="C20" s="22" t="s">
        <v>183</v>
      </c>
      <c r="D20" s="21">
        <f t="shared" si="0"/>
        <v>16</v>
      </c>
      <c r="E20" s="24" t="s">
        <v>60</v>
      </c>
      <c r="F20" s="21"/>
      <c r="G20" s="21"/>
      <c r="H20" s="24" t="s">
        <v>61</v>
      </c>
      <c r="I20" s="24" t="s">
        <v>62</v>
      </c>
      <c r="J20" s="24" t="s">
        <v>63</v>
      </c>
      <c r="K20" s="22" t="s">
        <v>109</v>
      </c>
      <c r="L20" s="22" t="s">
        <v>185</v>
      </c>
      <c r="M20" s="21" t="s">
        <v>86</v>
      </c>
      <c r="N20" s="21" t="s">
        <v>87</v>
      </c>
      <c r="O20" s="21" t="s">
        <v>186</v>
      </c>
      <c r="P20" s="21"/>
      <c r="Q20" s="21"/>
      <c r="R20" s="21"/>
      <c r="S20" s="21"/>
      <c r="T20" s="21">
        <v>2020</v>
      </c>
      <c r="U20" s="25" t="s">
        <v>69</v>
      </c>
      <c r="V20" s="21" t="s">
        <v>100</v>
      </c>
      <c r="W20" s="21" t="s">
        <v>100</v>
      </c>
      <c r="X20" s="113" t="s">
        <v>70</v>
      </c>
      <c r="Y20" s="113" t="s">
        <v>71</v>
      </c>
      <c r="Z20" s="21"/>
      <c r="AA20" s="21" t="s">
        <v>72</v>
      </c>
      <c r="AB20" s="21"/>
      <c r="AC20" s="21" t="s">
        <v>121</v>
      </c>
      <c r="AD20" s="21" t="s">
        <v>74</v>
      </c>
      <c r="AE20" s="22" t="s">
        <v>71</v>
      </c>
      <c r="AF20" s="26" t="s">
        <v>75</v>
      </c>
      <c r="AG20" s="21"/>
      <c r="AH20" s="21"/>
      <c r="AI20" s="21"/>
      <c r="AJ20" s="21"/>
      <c r="AK20" s="101" t="s">
        <v>187</v>
      </c>
      <c r="AL20" s="96"/>
      <c r="AM20" s="96" t="s">
        <v>77</v>
      </c>
      <c r="AN20" s="96"/>
      <c r="AO20" s="96"/>
      <c r="AP20" s="96"/>
      <c r="AQ20" s="96"/>
      <c r="AR20" s="96"/>
      <c r="AS20" s="96" t="s">
        <v>77</v>
      </c>
      <c r="AT20" s="96"/>
      <c r="AU20" s="114" t="s">
        <v>177</v>
      </c>
    </row>
    <row r="21" spans="1:47" s="20" customFormat="1" ht="18.75" customHeight="1">
      <c r="A21" s="20">
        <v>17</v>
      </c>
      <c r="B21" s="239"/>
      <c r="C21" s="22" t="s">
        <v>188</v>
      </c>
      <c r="D21" s="21">
        <v>17</v>
      </c>
      <c r="E21" s="24" t="s">
        <v>60</v>
      </c>
      <c r="F21" s="21"/>
      <c r="G21" s="21"/>
      <c r="H21" s="24" t="s">
        <v>61</v>
      </c>
      <c r="I21" s="24" t="s">
        <v>62</v>
      </c>
      <c r="J21" s="24" t="s">
        <v>63</v>
      </c>
      <c r="K21" s="22" t="s">
        <v>109</v>
      </c>
      <c r="L21" s="22" t="s">
        <v>190</v>
      </c>
      <c r="M21" s="21" t="s">
        <v>86</v>
      </c>
      <c r="N21" s="21" t="s">
        <v>87</v>
      </c>
      <c r="O21" s="21" t="s">
        <v>186</v>
      </c>
      <c r="P21" s="21"/>
      <c r="Q21" s="21"/>
      <c r="R21" s="21"/>
      <c r="S21" s="21"/>
      <c r="T21" s="21">
        <v>2021</v>
      </c>
      <c r="U21" s="25" t="s">
        <v>69</v>
      </c>
      <c r="V21" s="21" t="s">
        <v>157</v>
      </c>
      <c r="W21" s="21" t="s">
        <v>191</v>
      </c>
      <c r="X21" s="21" t="s">
        <v>92</v>
      </c>
      <c r="Y21" s="21" t="s">
        <v>192</v>
      </c>
      <c r="Z21" s="21"/>
      <c r="AA21" s="26" t="s">
        <v>72</v>
      </c>
      <c r="AB21" s="21"/>
      <c r="AC21" s="21" t="s">
        <v>96</v>
      </c>
      <c r="AD21" s="21" t="s">
        <v>74</v>
      </c>
      <c r="AE21" s="22" t="s">
        <v>92</v>
      </c>
      <c r="AF21" s="26" t="s">
        <v>75</v>
      </c>
      <c r="AG21" s="21"/>
      <c r="AH21" s="21"/>
      <c r="AI21" s="21"/>
      <c r="AJ21" s="21"/>
      <c r="AK21" s="101"/>
      <c r="AL21" s="96"/>
      <c r="AM21" s="96" t="s">
        <v>77</v>
      </c>
      <c r="AN21" s="96"/>
      <c r="AO21" s="96"/>
      <c r="AP21" s="96"/>
      <c r="AQ21" s="96"/>
      <c r="AR21" s="96"/>
      <c r="AS21" s="96"/>
      <c r="AT21" s="96"/>
      <c r="AU21" s="114"/>
    </row>
    <row r="22" spans="1:47" s="34" customFormat="1" ht="18.75" customHeight="1">
      <c r="A22" s="34" t="s">
        <v>193</v>
      </c>
      <c r="B22" s="240"/>
      <c r="C22" s="35" t="s">
        <v>194</v>
      </c>
      <c r="D22" s="37" t="str">
        <f t="shared" si="0"/>
        <v>제외_1</v>
      </c>
      <c r="E22" s="36" t="s">
        <v>60</v>
      </c>
      <c r="F22" s="37"/>
      <c r="G22" s="37"/>
      <c r="H22" s="36"/>
      <c r="I22" s="36"/>
      <c r="J22" s="36"/>
      <c r="K22" s="35"/>
      <c r="L22" s="35"/>
      <c r="M22" s="37"/>
      <c r="N22" s="37"/>
      <c r="O22" s="21"/>
      <c r="P22" s="37"/>
      <c r="Q22" s="37"/>
      <c r="R22" s="37"/>
      <c r="S22" s="37"/>
      <c r="T22" s="37"/>
      <c r="U22" s="37"/>
      <c r="V22" s="37"/>
      <c r="W22" s="37"/>
      <c r="X22" s="37"/>
      <c r="Y22" s="37"/>
      <c r="Z22" s="37"/>
      <c r="AA22" s="37"/>
      <c r="AB22" s="37"/>
      <c r="AC22" s="37"/>
      <c r="AD22" s="37"/>
      <c r="AE22" s="35"/>
      <c r="AF22" s="37"/>
      <c r="AG22" s="37"/>
      <c r="AH22" s="37"/>
      <c r="AI22" s="37"/>
      <c r="AJ22" s="37"/>
      <c r="AK22" s="100"/>
      <c r="AL22" s="98"/>
      <c r="AM22" s="98"/>
      <c r="AN22" s="98"/>
      <c r="AO22" s="98"/>
      <c r="AP22" s="98"/>
      <c r="AQ22" s="98"/>
      <c r="AR22" s="98"/>
      <c r="AS22" s="98"/>
      <c r="AT22" s="98"/>
      <c r="AU22" s="116"/>
    </row>
    <row r="23" spans="1:47" s="34" customFormat="1" ht="18.75" customHeight="1">
      <c r="A23" s="34" t="s">
        <v>196</v>
      </c>
      <c r="B23" s="240"/>
      <c r="C23" s="35" t="s">
        <v>197</v>
      </c>
      <c r="D23" s="37" t="str">
        <f t="shared" si="0"/>
        <v>제외_2</v>
      </c>
      <c r="E23" s="36" t="s">
        <v>60</v>
      </c>
      <c r="F23" s="37"/>
      <c r="G23" s="37"/>
      <c r="H23" s="36"/>
      <c r="I23" s="36"/>
      <c r="J23" s="36"/>
      <c r="K23" s="35"/>
      <c r="L23" s="35"/>
      <c r="M23" s="37"/>
      <c r="N23" s="37"/>
      <c r="O23" s="21"/>
      <c r="P23" s="37"/>
      <c r="Q23" s="37"/>
      <c r="R23" s="37"/>
      <c r="S23" s="37"/>
      <c r="T23" s="37"/>
      <c r="U23" s="37"/>
      <c r="V23" s="37"/>
      <c r="W23" s="37"/>
      <c r="X23" s="37"/>
      <c r="Y23" s="37"/>
      <c r="Z23" s="37"/>
      <c r="AA23" s="37"/>
      <c r="AB23" s="37"/>
      <c r="AC23" s="37"/>
      <c r="AD23" s="37"/>
      <c r="AE23" s="35"/>
      <c r="AF23" s="37"/>
      <c r="AG23" s="37"/>
      <c r="AH23" s="37"/>
      <c r="AI23" s="37"/>
      <c r="AJ23" s="37"/>
      <c r="AK23" s="100"/>
      <c r="AL23" s="98"/>
      <c r="AM23" s="98"/>
      <c r="AN23" s="98"/>
      <c r="AO23" s="98"/>
      <c r="AP23" s="98"/>
      <c r="AQ23" s="98"/>
      <c r="AR23" s="98"/>
      <c r="AS23" s="98"/>
      <c r="AT23" s="98"/>
      <c r="AU23" s="116"/>
    </row>
    <row r="24" spans="1:47" s="20" customFormat="1" ht="18.75" customHeight="1">
      <c r="A24" s="20">
        <v>18</v>
      </c>
      <c r="B24" s="239"/>
      <c r="C24" s="22" t="s">
        <v>198</v>
      </c>
      <c r="D24" s="21">
        <f t="shared" si="0"/>
        <v>18</v>
      </c>
      <c r="E24" s="24" t="s">
        <v>60</v>
      </c>
      <c r="F24" s="21"/>
      <c r="G24" s="21"/>
      <c r="H24" s="24" t="s">
        <v>61</v>
      </c>
      <c r="I24" s="24" t="s">
        <v>62</v>
      </c>
      <c r="J24" s="24" t="s">
        <v>63</v>
      </c>
      <c r="K24" s="22" t="s">
        <v>109</v>
      </c>
      <c r="L24" s="22" t="s">
        <v>190</v>
      </c>
      <c r="M24" s="21" t="s">
        <v>86</v>
      </c>
      <c r="N24" s="21" t="s">
        <v>87</v>
      </c>
      <c r="O24" s="21" t="s">
        <v>186</v>
      </c>
      <c r="P24" s="21"/>
      <c r="Q24" s="21"/>
      <c r="R24" s="21"/>
      <c r="S24" s="21"/>
      <c r="T24" s="21">
        <v>2020</v>
      </c>
      <c r="U24" s="25" t="s">
        <v>69</v>
      </c>
      <c r="V24" s="21" t="s">
        <v>200</v>
      </c>
      <c r="W24" s="21" t="s">
        <v>100</v>
      </c>
      <c r="X24" s="21" t="s">
        <v>92</v>
      </c>
      <c r="Y24" s="21" t="s">
        <v>201</v>
      </c>
      <c r="Z24" s="21"/>
      <c r="AA24" s="21" t="s">
        <v>94</v>
      </c>
      <c r="AB24" s="21" t="s">
        <v>95</v>
      </c>
      <c r="AC24" s="21" t="s">
        <v>121</v>
      </c>
      <c r="AD24" s="21" t="s">
        <v>74</v>
      </c>
      <c r="AE24" s="22" t="s">
        <v>202</v>
      </c>
      <c r="AF24" s="26" t="s">
        <v>75</v>
      </c>
      <c r="AG24" s="21"/>
      <c r="AH24" s="21"/>
      <c r="AI24" s="21"/>
      <c r="AJ24" s="21"/>
      <c r="AK24" s="101"/>
      <c r="AL24" s="96"/>
      <c r="AM24" s="96" t="s">
        <v>77</v>
      </c>
      <c r="AN24" s="96" t="s">
        <v>77</v>
      </c>
      <c r="AO24" s="96"/>
      <c r="AP24" s="96"/>
      <c r="AQ24" s="96"/>
      <c r="AR24" s="96"/>
      <c r="AS24" s="96" t="s">
        <v>77</v>
      </c>
      <c r="AT24" s="96"/>
      <c r="AU24" s="114" t="s">
        <v>177</v>
      </c>
    </row>
    <row r="25" spans="1:47" s="20" customFormat="1" ht="18.75" customHeight="1">
      <c r="A25" s="20">
        <v>19</v>
      </c>
      <c r="B25" s="239"/>
      <c r="C25" s="22" t="s">
        <v>203</v>
      </c>
      <c r="D25" s="21">
        <f t="shared" si="0"/>
        <v>19</v>
      </c>
      <c r="E25" s="24" t="s">
        <v>60</v>
      </c>
      <c r="F25" s="21"/>
      <c r="G25" s="21"/>
      <c r="H25" s="24" t="s">
        <v>61</v>
      </c>
      <c r="I25" s="24" t="s">
        <v>62</v>
      </c>
      <c r="J25" s="24" t="s">
        <v>63</v>
      </c>
      <c r="K25" s="22" t="s">
        <v>109</v>
      </c>
      <c r="L25" s="22" t="s">
        <v>190</v>
      </c>
      <c r="M25" s="21" t="s">
        <v>86</v>
      </c>
      <c r="N25" s="21" t="s">
        <v>87</v>
      </c>
      <c r="O25" s="21" t="s">
        <v>186</v>
      </c>
      <c r="P25" s="21"/>
      <c r="Q25" s="21"/>
      <c r="R25" s="21"/>
      <c r="S25" s="21"/>
      <c r="T25" s="21">
        <v>2020</v>
      </c>
      <c r="U25" s="25" t="s">
        <v>69</v>
      </c>
      <c r="V25" s="21" t="s">
        <v>205</v>
      </c>
      <c r="W25" s="24" t="s">
        <v>206</v>
      </c>
      <c r="X25" s="21" t="s">
        <v>92</v>
      </c>
      <c r="Y25" s="21" t="s">
        <v>207</v>
      </c>
      <c r="Z25" s="21"/>
      <c r="AA25" s="26" t="s">
        <v>72</v>
      </c>
      <c r="AB25" s="21"/>
      <c r="AC25" s="21" t="s">
        <v>121</v>
      </c>
      <c r="AD25" s="21" t="s">
        <v>74</v>
      </c>
      <c r="AE25" s="22" t="s">
        <v>202</v>
      </c>
      <c r="AF25" s="26" t="s">
        <v>75</v>
      </c>
      <c r="AG25" s="21"/>
      <c r="AH25" s="21"/>
      <c r="AI25" s="21"/>
      <c r="AJ25" s="21"/>
      <c r="AK25" s="101"/>
      <c r="AL25" s="96"/>
      <c r="AM25" s="96" t="s">
        <v>77</v>
      </c>
      <c r="AN25" s="96"/>
      <c r="AO25" s="96"/>
      <c r="AP25" s="96"/>
      <c r="AQ25" s="96"/>
      <c r="AR25" s="96"/>
      <c r="AS25" s="96"/>
      <c r="AT25" s="96"/>
      <c r="AU25" s="114"/>
    </row>
    <row r="26" spans="1:47" s="20" customFormat="1" ht="18.75" customHeight="1">
      <c r="A26" s="20">
        <v>20</v>
      </c>
      <c r="B26" s="239"/>
      <c r="C26" s="22" t="s">
        <v>208</v>
      </c>
      <c r="D26" s="21">
        <f t="shared" si="0"/>
        <v>20</v>
      </c>
      <c r="E26" s="24" t="s">
        <v>60</v>
      </c>
      <c r="F26" s="21"/>
      <c r="G26" s="21"/>
      <c r="H26" s="24" t="s">
        <v>61</v>
      </c>
      <c r="I26" s="24" t="s">
        <v>62</v>
      </c>
      <c r="J26" s="24" t="s">
        <v>63</v>
      </c>
      <c r="K26" s="22" t="s">
        <v>109</v>
      </c>
      <c r="L26" s="22" t="s">
        <v>210</v>
      </c>
      <c r="M26" s="21" t="s">
        <v>86</v>
      </c>
      <c r="N26" s="21" t="s">
        <v>87</v>
      </c>
      <c r="O26" s="21" t="s">
        <v>211</v>
      </c>
      <c r="P26" s="21"/>
      <c r="Q26" s="21"/>
      <c r="R26" s="21"/>
      <c r="S26" s="21"/>
      <c r="T26" s="21">
        <v>2006</v>
      </c>
      <c r="U26" s="25" t="s">
        <v>69</v>
      </c>
      <c r="V26" s="113" t="s">
        <v>212</v>
      </c>
      <c r="W26" s="113" t="s">
        <v>213</v>
      </c>
      <c r="X26" s="113" t="s">
        <v>212</v>
      </c>
      <c r="Y26" s="113" t="s">
        <v>213</v>
      </c>
      <c r="Z26" s="22"/>
      <c r="AA26" s="26" t="s">
        <v>72</v>
      </c>
      <c r="AB26" s="21"/>
      <c r="AC26" s="113" t="s">
        <v>120</v>
      </c>
      <c r="AE26" s="21" t="s">
        <v>212</v>
      </c>
      <c r="AF26" s="21" t="s">
        <v>214</v>
      </c>
      <c r="AG26" s="21"/>
      <c r="AH26" s="21"/>
      <c r="AI26" s="21"/>
      <c r="AJ26" s="21"/>
      <c r="AK26" s="101"/>
      <c r="AL26" s="96"/>
      <c r="AM26" s="96"/>
      <c r="AN26" s="96"/>
      <c r="AO26" s="96"/>
      <c r="AP26" s="96" t="s">
        <v>77</v>
      </c>
      <c r="AQ26" s="96"/>
      <c r="AR26" s="96"/>
      <c r="AS26" s="96"/>
      <c r="AT26" s="96"/>
      <c r="AU26" s="114"/>
    </row>
    <row r="27" spans="1:47" s="20" customFormat="1" ht="18.75" customHeight="1">
      <c r="A27" s="20">
        <v>21</v>
      </c>
      <c r="B27" s="239"/>
      <c r="C27" s="22" t="s">
        <v>215</v>
      </c>
      <c r="D27" s="21">
        <f t="shared" si="0"/>
        <v>21</v>
      </c>
      <c r="E27" s="24" t="s">
        <v>60</v>
      </c>
      <c r="F27" s="21"/>
      <c r="G27" s="21"/>
      <c r="H27" s="24" t="s">
        <v>61</v>
      </c>
      <c r="I27" s="24" t="s">
        <v>82</v>
      </c>
      <c r="J27" s="24" t="s">
        <v>83</v>
      </c>
      <c r="K27" s="22" t="s">
        <v>84</v>
      </c>
      <c r="L27" s="22" t="s">
        <v>131</v>
      </c>
      <c r="M27" s="21" t="s">
        <v>86</v>
      </c>
      <c r="N27" s="21" t="s">
        <v>87</v>
      </c>
      <c r="O27" s="21" t="s">
        <v>211</v>
      </c>
      <c r="P27" s="21"/>
      <c r="Q27" s="21"/>
      <c r="R27" s="21"/>
      <c r="S27" s="21"/>
      <c r="T27" s="21">
        <v>2020</v>
      </c>
      <c r="U27" s="25" t="s">
        <v>69</v>
      </c>
      <c r="V27" s="21" t="s">
        <v>157</v>
      </c>
      <c r="W27" s="21" t="s">
        <v>217</v>
      </c>
      <c r="X27" s="21" t="s">
        <v>92</v>
      </c>
      <c r="Y27" s="21" t="s">
        <v>192</v>
      </c>
      <c r="Z27" s="21"/>
      <c r="AA27" s="21" t="s">
        <v>94</v>
      </c>
      <c r="AB27" s="21" t="s">
        <v>95</v>
      </c>
      <c r="AC27" s="21" t="s">
        <v>96</v>
      </c>
      <c r="AD27" s="21" t="s">
        <v>74</v>
      </c>
      <c r="AE27" s="22" t="s">
        <v>202</v>
      </c>
      <c r="AF27" s="26" t="s">
        <v>75</v>
      </c>
      <c r="AG27" s="21"/>
      <c r="AH27" s="21"/>
      <c r="AI27" s="21"/>
      <c r="AJ27" s="21"/>
      <c r="AK27" s="101"/>
      <c r="AL27" s="96" t="s">
        <v>77</v>
      </c>
      <c r="AM27" s="96" t="s">
        <v>77</v>
      </c>
      <c r="AN27" s="96"/>
      <c r="AO27" s="96"/>
      <c r="AP27" s="96"/>
      <c r="AQ27" s="96"/>
      <c r="AR27" s="96"/>
      <c r="AS27" s="96"/>
      <c r="AT27" s="96"/>
      <c r="AU27" s="114"/>
    </row>
    <row r="28" spans="1:47" s="20" customFormat="1" ht="18.75" customHeight="1">
      <c r="A28" s="20">
        <v>22</v>
      </c>
      <c r="B28" s="239"/>
      <c r="C28" s="22" t="s">
        <v>218</v>
      </c>
      <c r="D28" s="21">
        <f t="shared" si="0"/>
        <v>22</v>
      </c>
      <c r="E28" s="24" t="s">
        <v>60</v>
      </c>
      <c r="F28" s="21"/>
      <c r="G28" s="21"/>
      <c r="H28" s="24" t="s">
        <v>61</v>
      </c>
      <c r="I28" s="24" t="s">
        <v>62</v>
      </c>
      <c r="J28" s="24" t="s">
        <v>63</v>
      </c>
      <c r="K28" s="22" t="s">
        <v>109</v>
      </c>
      <c r="L28" s="22" t="s">
        <v>220</v>
      </c>
      <c r="M28" s="21" t="s">
        <v>86</v>
      </c>
      <c r="N28" s="21" t="s">
        <v>87</v>
      </c>
      <c r="O28" s="21" t="s">
        <v>186</v>
      </c>
      <c r="P28" s="21"/>
      <c r="Q28" s="21"/>
      <c r="R28" s="21"/>
      <c r="S28" s="21"/>
      <c r="T28" s="21">
        <v>2021</v>
      </c>
      <c r="U28" s="24" t="s">
        <v>89</v>
      </c>
      <c r="V28" s="21" t="s">
        <v>221</v>
      </c>
      <c r="W28" s="21" t="s">
        <v>222</v>
      </c>
      <c r="X28" s="21" t="s">
        <v>223</v>
      </c>
      <c r="Y28" s="21" t="s">
        <v>224</v>
      </c>
      <c r="Z28" s="21"/>
      <c r="AA28" s="26" t="s">
        <v>72</v>
      </c>
      <c r="AB28" s="21"/>
      <c r="AC28" s="21" t="s">
        <v>73</v>
      </c>
      <c r="AD28" s="21" t="s">
        <v>121</v>
      </c>
      <c r="AE28" s="22" t="s">
        <v>202</v>
      </c>
      <c r="AF28" s="21" t="s">
        <v>121</v>
      </c>
      <c r="AG28" s="21"/>
      <c r="AH28" s="21"/>
      <c r="AI28" s="21"/>
      <c r="AJ28" s="21"/>
      <c r="AK28" s="101"/>
      <c r="AL28" s="96"/>
      <c r="AM28" s="96" t="s">
        <v>77</v>
      </c>
      <c r="AN28" s="96"/>
      <c r="AO28" s="96"/>
      <c r="AP28" s="96"/>
      <c r="AQ28" s="96"/>
      <c r="AR28" s="96"/>
      <c r="AS28" s="96"/>
      <c r="AT28" s="96"/>
      <c r="AU28" s="114"/>
    </row>
    <row r="29" spans="1:47" s="20" customFormat="1" ht="18.75" customHeight="1">
      <c r="A29" s="20">
        <v>23</v>
      </c>
      <c r="B29" s="239"/>
      <c r="C29" s="22" t="s">
        <v>225</v>
      </c>
      <c r="D29" s="21">
        <f t="shared" si="0"/>
        <v>23</v>
      </c>
      <c r="E29" s="24" t="s">
        <v>60</v>
      </c>
      <c r="F29" s="21"/>
      <c r="G29" s="21"/>
      <c r="H29" s="24" t="s">
        <v>61</v>
      </c>
      <c r="I29" s="24" t="s">
        <v>62</v>
      </c>
      <c r="J29" s="24" t="s">
        <v>63</v>
      </c>
      <c r="K29" s="22" t="s">
        <v>109</v>
      </c>
      <c r="L29" s="29" t="s">
        <v>117</v>
      </c>
      <c r="M29" s="21" t="s">
        <v>86</v>
      </c>
      <c r="N29" s="21" t="s">
        <v>87</v>
      </c>
      <c r="O29" s="21" t="s">
        <v>186</v>
      </c>
      <c r="P29" s="21"/>
      <c r="Q29" s="21"/>
      <c r="R29" s="21"/>
      <c r="S29" s="21"/>
      <c r="T29" s="21">
        <v>2015</v>
      </c>
      <c r="U29" s="25" t="s">
        <v>69</v>
      </c>
      <c r="V29" s="113" t="s">
        <v>227</v>
      </c>
      <c r="W29" s="113" t="s">
        <v>228</v>
      </c>
      <c r="X29" s="113" t="s">
        <v>229</v>
      </c>
      <c r="Y29" s="113" t="s">
        <v>230</v>
      </c>
      <c r="Z29" s="21"/>
      <c r="AA29" s="26" t="s">
        <v>72</v>
      </c>
      <c r="AB29" s="21"/>
      <c r="AC29" s="21" t="s">
        <v>231</v>
      </c>
      <c r="AD29" s="21" t="s">
        <v>74</v>
      </c>
      <c r="AE29" s="22" t="s">
        <v>228</v>
      </c>
      <c r="AF29" s="26" t="s">
        <v>75</v>
      </c>
      <c r="AG29" s="21"/>
      <c r="AH29" s="21"/>
      <c r="AI29" s="21"/>
      <c r="AJ29" s="21" t="s">
        <v>97</v>
      </c>
      <c r="AK29" s="101"/>
      <c r="AL29" s="96"/>
      <c r="AM29" s="96" t="s">
        <v>77</v>
      </c>
      <c r="AN29" s="96"/>
      <c r="AO29" s="96"/>
      <c r="AP29" s="96"/>
      <c r="AQ29" s="96"/>
      <c r="AR29" s="96"/>
      <c r="AS29" s="96"/>
      <c r="AT29" s="96"/>
      <c r="AU29" s="114"/>
    </row>
    <row r="30" spans="1:47" s="20" customFormat="1" ht="18.75" customHeight="1">
      <c r="A30" s="20">
        <v>24</v>
      </c>
      <c r="B30" s="239"/>
      <c r="C30" s="22" t="s">
        <v>232</v>
      </c>
      <c r="D30" s="21">
        <f t="shared" si="0"/>
        <v>24</v>
      </c>
      <c r="E30" s="24" t="s">
        <v>60</v>
      </c>
      <c r="F30" s="21"/>
      <c r="G30" s="21"/>
      <c r="H30" s="24" t="s">
        <v>61</v>
      </c>
      <c r="I30" s="24" t="s">
        <v>62</v>
      </c>
      <c r="J30" s="24" t="s">
        <v>63</v>
      </c>
      <c r="K30" s="22" t="s">
        <v>109</v>
      </c>
      <c r="L30" s="22" t="s">
        <v>190</v>
      </c>
      <c r="M30" s="21" t="s">
        <v>86</v>
      </c>
      <c r="N30" s="21" t="s">
        <v>87</v>
      </c>
      <c r="O30" s="21" t="s">
        <v>186</v>
      </c>
      <c r="P30" s="21"/>
      <c r="Q30" s="21"/>
      <c r="R30" s="21"/>
      <c r="S30" s="21"/>
      <c r="T30" s="21">
        <v>2015</v>
      </c>
      <c r="U30" s="25" t="s">
        <v>69</v>
      </c>
      <c r="V30" s="21" t="s">
        <v>205</v>
      </c>
      <c r="W30" s="24" t="s">
        <v>234</v>
      </c>
      <c r="X30" s="21" t="s">
        <v>92</v>
      </c>
      <c r="Y30" s="21" t="s">
        <v>207</v>
      </c>
      <c r="Z30" s="21"/>
      <c r="AA30" s="26" t="s">
        <v>72</v>
      </c>
      <c r="AB30" s="21"/>
      <c r="AC30" s="21" t="s">
        <v>235</v>
      </c>
      <c r="AD30" s="21" t="s">
        <v>74</v>
      </c>
      <c r="AE30" s="22" t="s">
        <v>202</v>
      </c>
      <c r="AF30" s="26" t="s">
        <v>75</v>
      </c>
      <c r="AG30" s="21"/>
      <c r="AH30" s="21"/>
      <c r="AI30" s="21" t="s">
        <v>76</v>
      </c>
      <c r="AJ30" s="21"/>
      <c r="AK30" s="101"/>
      <c r="AL30" s="96"/>
      <c r="AM30" s="96" t="s">
        <v>77</v>
      </c>
      <c r="AN30" s="96"/>
      <c r="AO30" s="96"/>
      <c r="AP30" s="96"/>
      <c r="AQ30" s="96"/>
      <c r="AR30" s="96"/>
      <c r="AS30" s="96"/>
      <c r="AT30" s="96"/>
      <c r="AU30" s="114"/>
    </row>
    <row r="31" spans="1:47" s="20" customFormat="1" ht="18.75" customHeight="1">
      <c r="A31" s="20">
        <v>25</v>
      </c>
      <c r="B31" s="239"/>
      <c r="C31" s="22" t="s">
        <v>236</v>
      </c>
      <c r="D31" s="21">
        <f t="shared" si="0"/>
        <v>25</v>
      </c>
      <c r="E31" s="24" t="s">
        <v>60</v>
      </c>
      <c r="F31" s="21"/>
      <c r="G31" s="21"/>
      <c r="H31" s="24" t="s">
        <v>61</v>
      </c>
      <c r="I31" s="24" t="s">
        <v>62</v>
      </c>
      <c r="J31" s="24" t="s">
        <v>63</v>
      </c>
      <c r="K31" s="22" t="s">
        <v>109</v>
      </c>
      <c r="L31" s="22" t="s">
        <v>238</v>
      </c>
      <c r="M31" s="24" t="s">
        <v>239</v>
      </c>
      <c r="N31" s="40" t="s">
        <v>121</v>
      </c>
      <c r="O31" s="21" t="s">
        <v>240</v>
      </c>
      <c r="P31" s="21"/>
      <c r="Q31" s="21"/>
      <c r="R31" s="21"/>
      <c r="S31" s="21"/>
      <c r="T31" s="21">
        <v>2020</v>
      </c>
      <c r="U31" s="25" t="s">
        <v>69</v>
      </c>
      <c r="V31" s="21" t="s">
        <v>205</v>
      </c>
      <c r="W31" s="24" t="s">
        <v>234</v>
      </c>
      <c r="X31" s="21" t="s">
        <v>92</v>
      </c>
      <c r="Y31" s="21" t="s">
        <v>207</v>
      </c>
      <c r="Z31" s="21"/>
      <c r="AA31" s="21" t="s">
        <v>72</v>
      </c>
      <c r="AB31" s="21"/>
      <c r="AC31" s="21" t="s">
        <v>235</v>
      </c>
      <c r="AD31" s="21" t="s">
        <v>74</v>
      </c>
      <c r="AE31" s="22" t="s">
        <v>92</v>
      </c>
      <c r="AF31" s="26" t="s">
        <v>75</v>
      </c>
      <c r="AG31" s="21"/>
      <c r="AH31" s="21"/>
      <c r="AI31" s="21" t="s">
        <v>76</v>
      </c>
      <c r="AJ31" s="21"/>
      <c r="AK31" s="101"/>
      <c r="AL31" s="96"/>
      <c r="AM31" s="96"/>
      <c r="AN31" s="96" t="s">
        <v>77</v>
      </c>
      <c r="AO31" s="96"/>
      <c r="AP31" s="96"/>
      <c r="AQ31" s="96"/>
      <c r="AR31" s="96"/>
      <c r="AS31" s="96"/>
      <c r="AT31" s="96"/>
      <c r="AU31" s="114"/>
    </row>
    <row r="32" spans="1:47" s="20" customFormat="1" ht="18.75" customHeight="1">
      <c r="A32" s="20">
        <v>26</v>
      </c>
      <c r="B32" s="239"/>
      <c r="C32" s="22" t="s">
        <v>241</v>
      </c>
      <c r="D32" s="21">
        <f>A32</f>
        <v>26</v>
      </c>
      <c r="E32" s="24" t="s">
        <v>60</v>
      </c>
      <c r="F32" s="21"/>
      <c r="G32" s="21"/>
      <c r="H32" s="24" t="s">
        <v>61</v>
      </c>
      <c r="I32" s="24" t="s">
        <v>62</v>
      </c>
      <c r="J32" s="24" t="s">
        <v>63</v>
      </c>
      <c r="K32" s="22" t="s">
        <v>109</v>
      </c>
      <c r="L32" s="22" t="s">
        <v>210</v>
      </c>
      <c r="M32" s="24" t="s">
        <v>239</v>
      </c>
      <c r="N32" s="40" t="s">
        <v>121</v>
      </c>
      <c r="O32" s="21" t="s">
        <v>240</v>
      </c>
      <c r="T32" s="21">
        <v>2014</v>
      </c>
      <c r="U32" s="25" t="s">
        <v>69</v>
      </c>
      <c r="V32" s="113" t="s">
        <v>243</v>
      </c>
      <c r="W32" s="21" t="s">
        <v>100</v>
      </c>
      <c r="X32" s="113" t="s">
        <v>243</v>
      </c>
      <c r="Y32" s="21" t="s">
        <v>100</v>
      </c>
      <c r="Z32" s="21"/>
      <c r="AA32" s="21" t="s">
        <v>72</v>
      </c>
      <c r="AB32" s="21"/>
      <c r="AC32" s="113" t="s">
        <v>120</v>
      </c>
      <c r="AD32" s="22"/>
      <c r="AE32" s="22" t="s">
        <v>243</v>
      </c>
      <c r="AF32" s="26" t="s">
        <v>214</v>
      </c>
      <c r="AG32" s="21"/>
      <c r="AH32" s="21"/>
      <c r="AI32" s="21"/>
      <c r="AJ32" s="21"/>
      <c r="AK32" s="101"/>
      <c r="AL32" s="96"/>
      <c r="AM32" s="96"/>
      <c r="AN32" s="96" t="s">
        <v>77</v>
      </c>
      <c r="AO32" s="96"/>
      <c r="AP32" s="96"/>
      <c r="AQ32" s="96"/>
      <c r="AR32" s="96"/>
      <c r="AS32" s="96"/>
      <c r="AT32" s="96"/>
      <c r="AU32" s="114"/>
    </row>
    <row r="33" spans="1:47" s="34" customFormat="1" ht="18.75" customHeight="1">
      <c r="A33" s="34" t="s">
        <v>244</v>
      </c>
      <c r="B33" s="239" t="s">
        <v>245</v>
      </c>
      <c r="C33" s="35" t="s">
        <v>246</v>
      </c>
      <c r="D33" s="37" t="str">
        <f t="shared" si="0"/>
        <v>제외_3</v>
      </c>
      <c r="E33" s="36" t="s">
        <v>60</v>
      </c>
      <c r="F33" s="37"/>
      <c r="G33" s="37"/>
      <c r="H33" s="36"/>
      <c r="I33" s="36"/>
      <c r="J33" s="36"/>
      <c r="K33" s="35"/>
      <c r="L33" s="35"/>
      <c r="M33" s="37"/>
      <c r="N33" s="37"/>
      <c r="O33" s="21"/>
      <c r="P33" s="37"/>
      <c r="Q33" s="37"/>
      <c r="R33" s="37"/>
      <c r="S33" s="37"/>
      <c r="T33" s="37"/>
      <c r="U33" s="37"/>
      <c r="V33" s="37"/>
      <c r="W33" s="37"/>
      <c r="X33" s="37"/>
      <c r="Y33" s="37"/>
      <c r="Z33" s="37"/>
      <c r="AA33" s="37"/>
      <c r="AB33" s="37"/>
      <c r="AC33" s="37"/>
      <c r="AD33" s="37"/>
      <c r="AE33" s="35"/>
      <c r="AF33" s="37"/>
      <c r="AG33" s="37"/>
      <c r="AH33" s="37"/>
      <c r="AI33" s="37"/>
      <c r="AJ33" s="37"/>
      <c r="AK33" s="100"/>
      <c r="AL33" s="98"/>
      <c r="AM33" s="98"/>
      <c r="AN33" s="98"/>
      <c r="AO33" s="98"/>
      <c r="AP33" s="98"/>
      <c r="AQ33" s="98"/>
      <c r="AR33" s="98"/>
      <c r="AS33" s="98"/>
      <c r="AT33" s="98"/>
      <c r="AU33" s="116"/>
    </row>
    <row r="34" spans="1:47" s="20" customFormat="1" ht="18.75" customHeight="1">
      <c r="A34" s="20">
        <v>27</v>
      </c>
      <c r="B34" s="239"/>
      <c r="C34" s="22" t="s">
        <v>247</v>
      </c>
      <c r="D34" s="21">
        <f t="shared" si="0"/>
        <v>27</v>
      </c>
      <c r="E34" s="24" t="s">
        <v>60</v>
      </c>
      <c r="F34" s="21"/>
      <c r="G34" s="21"/>
      <c r="H34" s="24" t="s">
        <v>61</v>
      </c>
      <c r="I34" s="24" t="s">
        <v>62</v>
      </c>
      <c r="J34" s="24" t="s">
        <v>63</v>
      </c>
      <c r="K34" s="22" t="s">
        <v>109</v>
      </c>
      <c r="L34" s="22" t="s">
        <v>249</v>
      </c>
      <c r="M34" s="21" t="s">
        <v>86</v>
      </c>
      <c r="N34" s="21" t="s">
        <v>87</v>
      </c>
      <c r="O34" s="21" t="s">
        <v>211</v>
      </c>
      <c r="P34" s="21"/>
      <c r="Q34" s="21"/>
      <c r="R34" s="21"/>
      <c r="S34" s="21"/>
      <c r="T34" s="21">
        <v>2017</v>
      </c>
      <c r="U34" s="24" t="s">
        <v>89</v>
      </c>
      <c r="V34" s="21" t="s">
        <v>100</v>
      </c>
      <c r="W34" s="21" t="s">
        <v>100</v>
      </c>
      <c r="X34" s="113" t="s">
        <v>70</v>
      </c>
      <c r="Y34" s="113" t="s">
        <v>71</v>
      </c>
      <c r="Z34" s="21"/>
      <c r="AA34" s="26" t="s">
        <v>72</v>
      </c>
      <c r="AB34" s="21"/>
      <c r="AC34" s="21" t="s">
        <v>235</v>
      </c>
      <c r="AD34" s="21" t="s">
        <v>121</v>
      </c>
      <c r="AE34" s="29" t="s">
        <v>71</v>
      </c>
      <c r="AF34" s="21" t="s">
        <v>250</v>
      </c>
      <c r="AG34" s="21"/>
      <c r="AH34" s="21"/>
      <c r="AI34" s="21"/>
      <c r="AJ34" s="21"/>
      <c r="AK34" s="101"/>
      <c r="AL34" s="96" t="s">
        <v>77</v>
      </c>
      <c r="AM34" s="96" t="s">
        <v>77</v>
      </c>
      <c r="AN34" s="96"/>
      <c r="AO34" s="96"/>
      <c r="AP34" s="96"/>
      <c r="AQ34" s="96"/>
      <c r="AR34" s="96"/>
      <c r="AS34" s="96"/>
      <c r="AT34" s="96"/>
      <c r="AU34" s="114"/>
    </row>
    <row r="35" spans="1:47" s="20" customFormat="1" ht="18.75" customHeight="1">
      <c r="A35" s="20">
        <v>28</v>
      </c>
      <c r="B35" s="239"/>
      <c r="C35" s="22" t="s">
        <v>251</v>
      </c>
      <c r="D35" s="21">
        <f t="shared" si="0"/>
        <v>28</v>
      </c>
      <c r="E35" s="24" t="s">
        <v>60</v>
      </c>
      <c r="F35" s="21"/>
      <c r="G35" s="21"/>
      <c r="H35" s="24" t="s">
        <v>61</v>
      </c>
      <c r="I35" s="24" t="s">
        <v>62</v>
      </c>
      <c r="J35" s="24" t="s">
        <v>63</v>
      </c>
      <c r="K35" s="22" t="s">
        <v>109</v>
      </c>
      <c r="L35" s="22" t="s">
        <v>253</v>
      </c>
      <c r="M35" s="21" t="s">
        <v>86</v>
      </c>
      <c r="N35" s="21" t="s">
        <v>87</v>
      </c>
      <c r="O35" s="21" t="s">
        <v>211</v>
      </c>
      <c r="P35" s="21"/>
      <c r="Q35" s="21"/>
      <c r="R35" s="21"/>
      <c r="S35" s="21"/>
      <c r="T35" s="21">
        <v>2021</v>
      </c>
      <c r="U35" s="24" t="s">
        <v>89</v>
      </c>
      <c r="V35" s="113" t="s">
        <v>70</v>
      </c>
      <c r="W35" s="113" t="s">
        <v>254</v>
      </c>
      <c r="X35" s="113" t="s">
        <v>70</v>
      </c>
      <c r="Y35" s="113" t="s">
        <v>254</v>
      </c>
      <c r="Z35" s="21"/>
      <c r="AA35" s="26" t="s">
        <v>94</v>
      </c>
      <c r="AB35" s="21" t="s">
        <v>95</v>
      </c>
      <c r="AC35" s="21" t="s">
        <v>96</v>
      </c>
      <c r="AD35" s="21" t="s">
        <v>255</v>
      </c>
      <c r="AE35" s="22" t="s">
        <v>254</v>
      </c>
      <c r="AF35" s="21" t="s">
        <v>75</v>
      </c>
      <c r="AG35" s="21"/>
      <c r="AH35" s="21"/>
      <c r="AI35" s="21" t="s">
        <v>76</v>
      </c>
      <c r="AJ35" s="21"/>
      <c r="AK35" s="101"/>
      <c r="AL35" s="96" t="s">
        <v>77</v>
      </c>
      <c r="AM35" s="96"/>
      <c r="AN35" s="96"/>
      <c r="AO35" s="96"/>
      <c r="AP35" s="96"/>
      <c r="AQ35" s="96"/>
      <c r="AR35" s="96" t="s">
        <v>77</v>
      </c>
      <c r="AS35" s="96"/>
      <c r="AT35" s="96"/>
      <c r="AU35" s="114"/>
    </row>
    <row r="36" spans="1:47" s="20" customFormat="1" ht="18.75" customHeight="1">
      <c r="A36" s="20">
        <v>29</v>
      </c>
      <c r="B36" s="239"/>
      <c r="C36" s="22" t="s">
        <v>256</v>
      </c>
      <c r="D36" s="21">
        <f t="shared" si="0"/>
        <v>29</v>
      </c>
      <c r="E36" s="24" t="s">
        <v>60</v>
      </c>
      <c r="F36" s="21"/>
      <c r="G36" s="21"/>
      <c r="H36" s="24" t="s">
        <v>61</v>
      </c>
      <c r="I36" s="24" t="s">
        <v>62</v>
      </c>
      <c r="J36" s="24" t="s">
        <v>63</v>
      </c>
      <c r="K36" s="22" t="s">
        <v>109</v>
      </c>
      <c r="L36" s="22" t="s">
        <v>258</v>
      </c>
      <c r="M36" s="21" t="s">
        <v>86</v>
      </c>
      <c r="N36" s="21" t="s">
        <v>87</v>
      </c>
      <c r="O36" s="21" t="s">
        <v>211</v>
      </c>
      <c r="P36" s="21"/>
      <c r="Q36" s="21"/>
      <c r="R36" s="21"/>
      <c r="S36" s="21"/>
      <c r="T36" s="21">
        <v>2019</v>
      </c>
      <c r="U36" s="25" t="s">
        <v>69</v>
      </c>
      <c r="V36" s="21" t="s">
        <v>157</v>
      </c>
      <c r="W36" s="21" t="s">
        <v>259</v>
      </c>
      <c r="X36" s="21" t="s">
        <v>92</v>
      </c>
      <c r="Y36" s="21" t="s">
        <v>260</v>
      </c>
      <c r="Z36" s="21"/>
      <c r="AA36" s="21" t="s">
        <v>94</v>
      </c>
      <c r="AB36" s="21" t="s">
        <v>95</v>
      </c>
      <c r="AC36" s="21" t="s">
        <v>96</v>
      </c>
      <c r="AD36" s="21" t="s">
        <v>74</v>
      </c>
      <c r="AE36" s="22" t="s">
        <v>92</v>
      </c>
      <c r="AF36" s="26" t="s">
        <v>75</v>
      </c>
      <c r="AG36" s="21"/>
      <c r="AH36" s="21"/>
      <c r="AI36" s="21" t="s">
        <v>76</v>
      </c>
      <c r="AJ36" s="21" t="s">
        <v>97</v>
      </c>
      <c r="AK36" s="101"/>
      <c r="AL36" s="96" t="s">
        <v>77</v>
      </c>
      <c r="AM36" s="96" t="s">
        <v>77</v>
      </c>
      <c r="AN36" s="96"/>
      <c r="AO36" s="96" t="s">
        <v>77</v>
      </c>
      <c r="AP36" s="96"/>
      <c r="AQ36" s="96"/>
      <c r="AR36" s="96" t="s">
        <v>77</v>
      </c>
      <c r="AS36" s="96"/>
      <c r="AT36" s="96"/>
      <c r="AU36" s="114"/>
    </row>
    <row r="37" spans="1:47" s="20" customFormat="1" ht="18.75" customHeight="1">
      <c r="A37" s="20">
        <v>30</v>
      </c>
      <c r="B37" s="239"/>
      <c r="C37" s="22" t="s">
        <v>261</v>
      </c>
      <c r="D37" s="21">
        <f t="shared" si="0"/>
        <v>30</v>
      </c>
      <c r="E37" s="24" t="s">
        <v>60</v>
      </c>
      <c r="F37" s="21"/>
      <c r="G37" s="21"/>
      <c r="H37" s="24" t="s">
        <v>61</v>
      </c>
      <c r="I37" s="24" t="s">
        <v>62</v>
      </c>
      <c r="J37" s="24" t="s">
        <v>63</v>
      </c>
      <c r="K37" s="22" t="s">
        <v>109</v>
      </c>
      <c r="L37" s="22" t="s">
        <v>263</v>
      </c>
      <c r="M37" s="21" t="s">
        <v>86</v>
      </c>
      <c r="N37" s="21" t="s">
        <v>87</v>
      </c>
      <c r="O37" s="21" t="s">
        <v>211</v>
      </c>
      <c r="P37" s="21"/>
      <c r="Q37" s="21"/>
      <c r="R37" s="21"/>
      <c r="S37" s="21"/>
      <c r="T37" s="21">
        <v>2019</v>
      </c>
      <c r="U37" s="24" t="s">
        <v>89</v>
      </c>
      <c r="V37" s="21" t="s">
        <v>100</v>
      </c>
      <c r="W37" s="21" t="s">
        <v>100</v>
      </c>
      <c r="X37" s="21" t="s">
        <v>264</v>
      </c>
      <c r="Y37" s="21" t="s">
        <v>152</v>
      </c>
      <c r="Z37" s="21"/>
      <c r="AA37" s="21" t="s">
        <v>94</v>
      </c>
      <c r="AB37" s="21" t="s">
        <v>95</v>
      </c>
      <c r="AC37" s="21" t="s">
        <v>96</v>
      </c>
      <c r="AD37" s="21" t="s">
        <v>121</v>
      </c>
      <c r="AE37" s="22" t="s">
        <v>265</v>
      </c>
      <c r="AF37" s="21" t="s">
        <v>161</v>
      </c>
      <c r="AG37" s="21"/>
      <c r="AH37" s="21"/>
      <c r="AI37" s="21"/>
      <c r="AJ37" s="21"/>
      <c r="AK37" s="101"/>
      <c r="AL37" s="96" t="s">
        <v>77</v>
      </c>
      <c r="AM37" s="96" t="s">
        <v>77</v>
      </c>
      <c r="AN37" s="96"/>
      <c r="AO37" s="96" t="s">
        <v>77</v>
      </c>
      <c r="AP37" s="96"/>
      <c r="AQ37" s="96"/>
      <c r="AR37" s="96" t="s">
        <v>77</v>
      </c>
      <c r="AS37" s="96" t="s">
        <v>77</v>
      </c>
      <c r="AT37" s="96"/>
      <c r="AU37" s="114" t="s">
        <v>177</v>
      </c>
    </row>
    <row r="38" spans="1:47" s="20" customFormat="1" ht="18.75" customHeight="1">
      <c r="A38" s="20">
        <v>31</v>
      </c>
      <c r="B38" s="239"/>
      <c r="C38" s="22" t="s">
        <v>266</v>
      </c>
      <c r="D38" s="21">
        <f t="shared" si="0"/>
        <v>31</v>
      </c>
      <c r="E38" s="21" t="s">
        <v>60</v>
      </c>
      <c r="F38" s="21"/>
      <c r="G38" s="21"/>
      <c r="H38" s="21" t="s">
        <v>61</v>
      </c>
      <c r="I38" s="21" t="s">
        <v>62</v>
      </c>
      <c r="J38" s="21" t="s">
        <v>63</v>
      </c>
      <c r="K38" s="22" t="s">
        <v>109</v>
      </c>
      <c r="L38" s="22" t="s">
        <v>268</v>
      </c>
      <c r="M38" s="21" t="s">
        <v>86</v>
      </c>
      <c r="N38" s="21" t="s">
        <v>87</v>
      </c>
      <c r="O38" s="21" t="s">
        <v>211</v>
      </c>
      <c r="P38" s="21"/>
      <c r="Q38" s="21"/>
      <c r="R38" s="21"/>
      <c r="S38" s="21"/>
      <c r="T38" s="21">
        <v>2020</v>
      </c>
      <c r="U38" s="24" t="s">
        <v>89</v>
      </c>
      <c r="V38" s="21" t="s">
        <v>269</v>
      </c>
      <c r="W38" s="21" t="s">
        <v>270</v>
      </c>
      <c r="X38" s="21" t="s">
        <v>92</v>
      </c>
      <c r="Y38" s="21" t="s">
        <v>100</v>
      </c>
      <c r="Z38" s="21"/>
      <c r="AA38" s="21" t="s">
        <v>94</v>
      </c>
      <c r="AB38" s="21" t="s">
        <v>95</v>
      </c>
      <c r="AC38" s="21" t="s">
        <v>73</v>
      </c>
      <c r="AD38" s="21" t="s">
        <v>271</v>
      </c>
      <c r="AE38" s="22" t="s">
        <v>272</v>
      </c>
      <c r="AF38" s="21" t="s">
        <v>121</v>
      </c>
      <c r="AG38" s="21"/>
      <c r="AH38" s="21"/>
      <c r="AI38" s="21"/>
      <c r="AJ38" s="21"/>
      <c r="AK38" s="101"/>
      <c r="AL38" s="96" t="s">
        <v>77</v>
      </c>
      <c r="AM38" s="96" t="s">
        <v>77</v>
      </c>
      <c r="AN38" s="96"/>
      <c r="AO38" s="96" t="s">
        <v>77</v>
      </c>
      <c r="AP38" s="96"/>
      <c r="AQ38" s="96"/>
      <c r="AR38" s="96" t="s">
        <v>77</v>
      </c>
      <c r="AS38" s="96" t="s">
        <v>77</v>
      </c>
      <c r="AT38" s="96"/>
      <c r="AU38" s="114" t="s">
        <v>177</v>
      </c>
    </row>
    <row r="39" spans="1:47" s="20" customFormat="1" ht="18.75" customHeight="1">
      <c r="A39" s="20">
        <v>32</v>
      </c>
      <c r="B39" s="239"/>
      <c r="C39" s="22" t="s">
        <v>273</v>
      </c>
      <c r="D39" s="21">
        <f t="shared" si="0"/>
        <v>32</v>
      </c>
      <c r="E39" s="24" t="s">
        <v>60</v>
      </c>
      <c r="F39" s="21"/>
      <c r="G39" s="21"/>
      <c r="H39" s="24" t="s">
        <v>61</v>
      </c>
      <c r="I39" s="24" t="s">
        <v>62</v>
      </c>
      <c r="J39" s="24" t="s">
        <v>63</v>
      </c>
      <c r="K39" s="22" t="s">
        <v>109</v>
      </c>
      <c r="L39" s="22" t="s">
        <v>275</v>
      </c>
      <c r="M39" s="21" t="s">
        <v>86</v>
      </c>
      <c r="N39" s="21" t="s">
        <v>87</v>
      </c>
      <c r="O39" s="21" t="s">
        <v>211</v>
      </c>
      <c r="P39" s="21"/>
      <c r="Q39" s="21"/>
      <c r="R39" s="21"/>
      <c r="S39" s="21"/>
      <c r="T39" s="21">
        <v>2019</v>
      </c>
      <c r="U39" s="24" t="s">
        <v>89</v>
      </c>
      <c r="V39" s="24" t="s">
        <v>276</v>
      </c>
      <c r="W39" s="21" t="s">
        <v>277</v>
      </c>
      <c r="X39" s="21" t="s">
        <v>92</v>
      </c>
      <c r="Y39" s="21" t="s">
        <v>278</v>
      </c>
      <c r="Z39" s="21"/>
      <c r="AA39" s="21" t="s">
        <v>94</v>
      </c>
      <c r="AB39" s="21" t="s">
        <v>95</v>
      </c>
      <c r="AC39" s="21" t="s">
        <v>96</v>
      </c>
      <c r="AD39" s="21" t="s">
        <v>74</v>
      </c>
      <c r="AE39" s="22" t="s">
        <v>92</v>
      </c>
      <c r="AF39" s="26" t="s">
        <v>75</v>
      </c>
      <c r="AG39" s="21"/>
      <c r="AH39" s="21"/>
      <c r="AI39" s="21" t="s">
        <v>76</v>
      </c>
      <c r="AJ39" s="21"/>
      <c r="AK39" s="101"/>
      <c r="AL39" s="96" t="s">
        <v>77</v>
      </c>
      <c r="AM39" s="96" t="s">
        <v>77</v>
      </c>
      <c r="AN39" s="107"/>
      <c r="AO39" s="96" t="s">
        <v>77</v>
      </c>
      <c r="AP39" s="96" t="s">
        <v>77</v>
      </c>
      <c r="AQ39" s="96" t="s">
        <v>77</v>
      </c>
      <c r="AR39" s="96"/>
      <c r="AS39" s="96"/>
      <c r="AT39" s="96"/>
      <c r="AU39" s="114"/>
    </row>
    <row r="40" spans="1:47" s="20" customFormat="1" ht="18.75" customHeight="1">
      <c r="A40" s="20">
        <v>33</v>
      </c>
      <c r="B40" s="239" t="s">
        <v>279</v>
      </c>
      <c r="C40" s="22" t="s">
        <v>280</v>
      </c>
      <c r="D40" s="21">
        <f t="shared" si="0"/>
        <v>33</v>
      </c>
      <c r="E40" s="24" t="s">
        <v>60</v>
      </c>
      <c r="F40" s="21"/>
      <c r="G40" s="21"/>
      <c r="H40" s="24" t="s">
        <v>61</v>
      </c>
      <c r="I40" s="24" t="s">
        <v>82</v>
      </c>
      <c r="J40" s="24" t="s">
        <v>83</v>
      </c>
      <c r="K40" s="29" t="s">
        <v>84</v>
      </c>
      <c r="L40" s="29" t="s">
        <v>282</v>
      </c>
      <c r="M40" s="21" t="s">
        <v>86</v>
      </c>
      <c r="N40" s="21" t="s">
        <v>87</v>
      </c>
      <c r="O40" s="21" t="s">
        <v>68</v>
      </c>
      <c r="P40" s="21"/>
      <c r="Q40" s="21"/>
      <c r="R40" s="21"/>
      <c r="S40" s="21"/>
      <c r="T40" s="21">
        <v>2023</v>
      </c>
      <c r="U40" s="24" t="s">
        <v>89</v>
      </c>
      <c r="V40" s="21" t="s">
        <v>283</v>
      </c>
      <c r="W40" s="21" t="s">
        <v>284</v>
      </c>
      <c r="X40" s="21" t="s">
        <v>92</v>
      </c>
      <c r="Y40" s="21" t="s">
        <v>285</v>
      </c>
      <c r="Z40" s="21"/>
      <c r="AA40" s="21" t="s">
        <v>94</v>
      </c>
      <c r="AB40" s="21" t="s">
        <v>95</v>
      </c>
      <c r="AC40" s="21" t="s">
        <v>96</v>
      </c>
      <c r="AD40" s="21" t="s">
        <v>169</v>
      </c>
      <c r="AE40" s="22" t="s">
        <v>92</v>
      </c>
      <c r="AF40" s="26" t="s">
        <v>75</v>
      </c>
      <c r="AG40" s="21"/>
      <c r="AH40" s="21"/>
      <c r="AI40" s="21"/>
      <c r="AJ40" s="21"/>
      <c r="AK40" s="101"/>
      <c r="AL40" s="96" t="s">
        <v>77</v>
      </c>
      <c r="AM40" s="96"/>
      <c r="AN40" s="96"/>
      <c r="AO40" s="96"/>
      <c r="AP40" s="96" t="s">
        <v>77</v>
      </c>
      <c r="AQ40" s="96" t="s">
        <v>77</v>
      </c>
      <c r="AR40" s="96"/>
      <c r="AS40" s="96"/>
      <c r="AT40" s="96"/>
      <c r="AU40" s="114"/>
    </row>
    <row r="41" spans="1:47" s="34" customFormat="1" ht="18.75" customHeight="1">
      <c r="A41" s="34">
        <v>34</v>
      </c>
      <c r="B41" s="239"/>
      <c r="C41" s="35" t="s">
        <v>286</v>
      </c>
      <c r="D41" s="37">
        <f t="shared" si="0"/>
        <v>34</v>
      </c>
      <c r="E41" s="36" t="s">
        <v>60</v>
      </c>
      <c r="F41" s="37"/>
      <c r="G41" s="37"/>
      <c r="H41" s="36" t="s">
        <v>61</v>
      </c>
      <c r="I41" s="36" t="s">
        <v>62</v>
      </c>
      <c r="J41" s="36" t="s">
        <v>63</v>
      </c>
      <c r="K41" s="35" t="s">
        <v>109</v>
      </c>
      <c r="L41" s="35" t="s">
        <v>238</v>
      </c>
      <c r="M41" s="37" t="s">
        <v>86</v>
      </c>
      <c r="N41" s="37" t="s">
        <v>87</v>
      </c>
      <c r="O41" s="21" t="s">
        <v>68</v>
      </c>
      <c r="P41" s="37"/>
      <c r="Q41" s="37"/>
      <c r="R41" s="37"/>
      <c r="S41" s="37"/>
      <c r="T41" s="37">
        <v>2013</v>
      </c>
      <c r="U41" s="37"/>
      <c r="V41" s="37"/>
      <c r="W41" s="37"/>
      <c r="X41" s="37"/>
      <c r="Y41" s="37"/>
      <c r="Z41" s="37"/>
      <c r="AA41" s="39" t="s">
        <v>72</v>
      </c>
      <c r="AB41" s="37"/>
      <c r="AC41" s="37" t="s">
        <v>288</v>
      </c>
      <c r="AD41" s="37" t="s">
        <v>74</v>
      </c>
      <c r="AE41" s="35" t="s">
        <v>289</v>
      </c>
      <c r="AF41" s="39" t="s">
        <v>75</v>
      </c>
      <c r="AG41" s="37"/>
      <c r="AH41" s="37"/>
      <c r="AI41" s="37"/>
      <c r="AJ41" s="37"/>
      <c r="AK41" s="100"/>
      <c r="AL41" s="98"/>
      <c r="AM41" s="98"/>
      <c r="AN41" s="98"/>
      <c r="AO41" s="98"/>
      <c r="AP41" s="98"/>
      <c r="AQ41" s="98"/>
      <c r="AR41" s="98"/>
      <c r="AS41" s="98"/>
      <c r="AT41" s="98"/>
      <c r="AU41" s="116"/>
    </row>
    <row r="42" spans="1:47" s="20" customFormat="1" ht="18.75" customHeight="1">
      <c r="A42" s="20">
        <v>35</v>
      </c>
      <c r="B42" s="239"/>
      <c r="C42" s="22" t="s">
        <v>290</v>
      </c>
      <c r="D42" s="21">
        <f t="shared" si="0"/>
        <v>35</v>
      </c>
      <c r="E42" s="24" t="s">
        <v>60</v>
      </c>
      <c r="F42" s="21"/>
      <c r="G42" s="21"/>
      <c r="H42" s="24" t="s">
        <v>61</v>
      </c>
      <c r="I42" s="24" t="s">
        <v>82</v>
      </c>
      <c r="J42" s="24" t="s">
        <v>83</v>
      </c>
      <c r="K42" s="29" t="s">
        <v>84</v>
      </c>
      <c r="L42" s="22" t="s">
        <v>292</v>
      </c>
      <c r="M42" s="21" t="s">
        <v>86</v>
      </c>
      <c r="N42" s="21" t="s">
        <v>87</v>
      </c>
      <c r="O42" s="21" t="s">
        <v>68</v>
      </c>
      <c r="P42" s="21"/>
      <c r="Q42" s="21"/>
      <c r="R42" s="21"/>
      <c r="S42" s="21"/>
      <c r="T42" s="21">
        <v>2019</v>
      </c>
      <c r="U42" s="24" t="s">
        <v>89</v>
      </c>
      <c r="V42" s="21" t="s">
        <v>293</v>
      </c>
      <c r="W42" s="21" t="s">
        <v>294</v>
      </c>
      <c r="X42" s="21" t="s">
        <v>92</v>
      </c>
      <c r="Y42" s="21" t="s">
        <v>152</v>
      </c>
      <c r="Z42" s="21"/>
      <c r="AA42" s="21" t="s">
        <v>94</v>
      </c>
      <c r="AB42" s="21" t="s">
        <v>95</v>
      </c>
      <c r="AC42" s="21" t="s">
        <v>96</v>
      </c>
      <c r="AD42" s="21" t="s">
        <v>74</v>
      </c>
      <c r="AE42" s="22" t="s">
        <v>92</v>
      </c>
      <c r="AF42" s="26" t="s">
        <v>75</v>
      </c>
      <c r="AG42" s="21"/>
      <c r="AH42" s="21"/>
      <c r="AI42" s="21" t="s">
        <v>76</v>
      </c>
      <c r="AJ42" s="21"/>
      <c r="AK42" s="101"/>
      <c r="AL42" s="96" t="s">
        <v>77</v>
      </c>
      <c r="AM42" s="96" t="s">
        <v>77</v>
      </c>
      <c r="AN42" s="96" t="s">
        <v>77</v>
      </c>
      <c r="AO42" s="96"/>
      <c r="AP42" s="96"/>
      <c r="AQ42" s="96"/>
      <c r="AR42" s="96"/>
      <c r="AS42" s="96"/>
      <c r="AT42" s="96"/>
      <c r="AU42" s="114"/>
    </row>
    <row r="43" spans="1:47" s="20" customFormat="1" ht="18.75" customHeight="1">
      <c r="A43" s="20">
        <v>36</v>
      </c>
      <c r="B43" s="239"/>
      <c r="C43" s="22" t="s">
        <v>295</v>
      </c>
      <c r="D43" s="21">
        <f t="shared" si="0"/>
        <v>36</v>
      </c>
      <c r="E43" s="24" t="s">
        <v>60</v>
      </c>
      <c r="F43" s="21"/>
      <c r="G43" s="21"/>
      <c r="H43" s="24" t="s">
        <v>61</v>
      </c>
      <c r="I43" s="24" t="s">
        <v>82</v>
      </c>
      <c r="J43" s="24" t="s">
        <v>83</v>
      </c>
      <c r="K43" s="29" t="s">
        <v>84</v>
      </c>
      <c r="L43" s="22" t="s">
        <v>297</v>
      </c>
      <c r="M43" s="21" t="s">
        <v>86</v>
      </c>
      <c r="N43" s="21" t="s">
        <v>87</v>
      </c>
      <c r="O43" s="21" t="s">
        <v>68</v>
      </c>
      <c r="P43" s="21"/>
      <c r="Q43" s="21"/>
      <c r="R43" s="21"/>
      <c r="S43" s="21"/>
      <c r="T43" s="21">
        <v>2021</v>
      </c>
      <c r="U43" s="25" t="s">
        <v>69</v>
      </c>
      <c r="V43" s="21" t="s">
        <v>283</v>
      </c>
      <c r="W43" s="21" t="s">
        <v>298</v>
      </c>
      <c r="X43" s="21" t="s">
        <v>92</v>
      </c>
      <c r="Y43" s="21" t="s">
        <v>299</v>
      </c>
      <c r="Z43" s="21"/>
      <c r="AA43" s="26" t="s">
        <v>72</v>
      </c>
      <c r="AB43" s="21"/>
      <c r="AC43" s="21" t="s">
        <v>73</v>
      </c>
      <c r="AD43" s="21" t="s">
        <v>271</v>
      </c>
      <c r="AE43" s="22" t="s">
        <v>92</v>
      </c>
      <c r="AF43" s="21" t="s">
        <v>300</v>
      </c>
      <c r="AG43" s="21"/>
      <c r="AH43" s="21"/>
      <c r="AI43" s="21"/>
      <c r="AJ43" s="21"/>
      <c r="AK43" s="101"/>
      <c r="AL43" s="96" t="s">
        <v>77</v>
      </c>
      <c r="AM43" s="96" t="s">
        <v>77</v>
      </c>
      <c r="AN43" s="96"/>
      <c r="AO43" s="96"/>
      <c r="AP43" s="96"/>
      <c r="AQ43" s="96"/>
      <c r="AR43" s="96"/>
      <c r="AS43" s="96"/>
      <c r="AT43" s="96"/>
      <c r="AU43" s="114"/>
    </row>
    <row r="44" spans="1:47" s="20" customFormat="1" ht="18.75" customHeight="1">
      <c r="A44" s="20">
        <v>37</v>
      </c>
      <c r="B44" s="239"/>
      <c r="C44" s="22" t="s">
        <v>301</v>
      </c>
      <c r="D44" s="21">
        <f t="shared" si="0"/>
        <v>37</v>
      </c>
      <c r="E44" s="24" t="s">
        <v>60</v>
      </c>
      <c r="F44" s="21"/>
      <c r="G44" s="21"/>
      <c r="H44" s="24" t="s">
        <v>61</v>
      </c>
      <c r="I44" s="24" t="s">
        <v>82</v>
      </c>
      <c r="J44" s="24" t="s">
        <v>83</v>
      </c>
      <c r="K44" s="29" t="s">
        <v>84</v>
      </c>
      <c r="L44" s="22" t="s">
        <v>303</v>
      </c>
      <c r="M44" s="21" t="s">
        <v>86</v>
      </c>
      <c r="N44" s="21" t="s">
        <v>87</v>
      </c>
      <c r="O44" s="21" t="s">
        <v>68</v>
      </c>
      <c r="P44" s="21"/>
      <c r="Q44" s="21"/>
      <c r="R44" s="21"/>
      <c r="S44" s="21"/>
      <c r="T44" s="21">
        <v>2021</v>
      </c>
      <c r="U44" s="24" t="s">
        <v>89</v>
      </c>
      <c r="V44" s="21" t="s">
        <v>304</v>
      </c>
      <c r="W44" s="21" t="s">
        <v>305</v>
      </c>
      <c r="X44" s="113" t="s">
        <v>70</v>
      </c>
      <c r="Y44" s="113" t="s">
        <v>71</v>
      </c>
      <c r="Z44" s="21"/>
      <c r="AA44" s="21" t="s">
        <v>94</v>
      </c>
      <c r="AB44" s="21" t="s">
        <v>95</v>
      </c>
      <c r="AC44" s="21" t="s">
        <v>96</v>
      </c>
      <c r="AD44" s="21" t="s">
        <v>306</v>
      </c>
      <c r="AE44" s="22" t="s">
        <v>71</v>
      </c>
      <c r="AF44" s="21" t="s">
        <v>306</v>
      </c>
      <c r="AG44" s="21"/>
      <c r="AH44" s="21"/>
      <c r="AI44" s="21" t="s">
        <v>76</v>
      </c>
      <c r="AJ44" s="21"/>
      <c r="AK44" s="101"/>
      <c r="AL44" s="96" t="s">
        <v>77</v>
      </c>
      <c r="AM44" s="96"/>
      <c r="AN44" s="96"/>
      <c r="AO44" s="96"/>
      <c r="AP44" s="96" t="s">
        <v>77</v>
      </c>
      <c r="AQ44" s="96"/>
      <c r="AR44" s="96"/>
      <c r="AS44" s="96" t="s">
        <v>77</v>
      </c>
      <c r="AT44" s="117" t="s">
        <v>307</v>
      </c>
      <c r="AU44" s="114" t="s">
        <v>308</v>
      </c>
    </row>
    <row r="45" spans="1:47" s="42" customFormat="1" ht="18.75" customHeight="1">
      <c r="A45" s="42">
        <v>38</v>
      </c>
      <c r="B45" s="240"/>
      <c r="C45" s="43" t="s">
        <v>309</v>
      </c>
      <c r="D45" s="41">
        <f t="shared" si="0"/>
        <v>38</v>
      </c>
      <c r="E45" s="44" t="s">
        <v>60</v>
      </c>
      <c r="F45" s="41"/>
      <c r="G45" s="41"/>
      <c r="H45" s="44"/>
      <c r="I45" s="44"/>
      <c r="J45" s="44"/>
      <c r="K45" s="46"/>
      <c r="L45" s="46"/>
      <c r="M45" s="41"/>
      <c r="N45" s="41"/>
      <c r="O45" s="21"/>
      <c r="P45" s="41"/>
      <c r="Q45" s="41"/>
      <c r="R45" s="41"/>
      <c r="S45" s="41"/>
      <c r="T45" s="41"/>
      <c r="U45" s="44" t="s">
        <v>100</v>
      </c>
      <c r="V45" s="41"/>
      <c r="W45" s="41"/>
      <c r="X45" s="41"/>
      <c r="Y45" s="41"/>
      <c r="Z45" s="41"/>
      <c r="AA45" s="41"/>
      <c r="AB45" s="41"/>
      <c r="AC45" s="41"/>
      <c r="AD45" s="41"/>
      <c r="AE45" s="43"/>
      <c r="AF45" s="41"/>
      <c r="AG45" s="41"/>
      <c r="AH45" s="41"/>
      <c r="AI45" s="41"/>
      <c r="AJ45" s="41"/>
      <c r="AK45" s="99"/>
      <c r="AL45" s="97"/>
      <c r="AM45" s="97"/>
      <c r="AN45" s="97"/>
      <c r="AO45" s="97"/>
      <c r="AP45" s="97"/>
      <c r="AQ45" s="97"/>
      <c r="AR45" s="97"/>
      <c r="AS45" s="97"/>
      <c r="AT45" s="97"/>
      <c r="AU45" s="115"/>
    </row>
    <row r="46" spans="1:47" s="20" customFormat="1" ht="18.75" customHeight="1">
      <c r="A46" s="20">
        <v>39</v>
      </c>
      <c r="B46" s="239" t="s">
        <v>310</v>
      </c>
      <c r="C46" s="22" t="s">
        <v>311</v>
      </c>
      <c r="D46" s="21">
        <f t="shared" si="0"/>
        <v>39</v>
      </c>
      <c r="E46" s="24" t="s">
        <v>60</v>
      </c>
      <c r="F46" s="21"/>
      <c r="G46" s="21"/>
      <c r="H46" s="24" t="s">
        <v>61</v>
      </c>
      <c r="I46" s="24" t="s">
        <v>82</v>
      </c>
      <c r="J46" s="24" t="s">
        <v>83</v>
      </c>
      <c r="K46" s="29" t="s">
        <v>84</v>
      </c>
      <c r="L46" s="22" t="s">
        <v>313</v>
      </c>
      <c r="M46" s="24" t="s">
        <v>239</v>
      </c>
      <c r="N46" s="40" t="s">
        <v>121</v>
      </c>
      <c r="O46" s="21" t="s">
        <v>240</v>
      </c>
      <c r="P46" s="21"/>
      <c r="Q46" s="21"/>
      <c r="R46" s="21"/>
      <c r="S46" s="21"/>
      <c r="T46" s="21">
        <v>2021</v>
      </c>
      <c r="U46" s="25" t="s">
        <v>69</v>
      </c>
      <c r="V46" s="21" t="s">
        <v>314</v>
      </c>
      <c r="W46" s="21" t="s">
        <v>315</v>
      </c>
      <c r="X46" s="21" t="s">
        <v>92</v>
      </c>
      <c r="Y46" s="21" t="s">
        <v>316</v>
      </c>
      <c r="Z46" s="21" t="s">
        <v>317</v>
      </c>
      <c r="AA46" s="26" t="s">
        <v>72</v>
      </c>
      <c r="AB46" s="21"/>
      <c r="AC46" s="21" t="s">
        <v>96</v>
      </c>
      <c r="AD46" s="21" t="s">
        <v>74</v>
      </c>
      <c r="AE46" s="29" t="s">
        <v>318</v>
      </c>
      <c r="AF46" s="26" t="s">
        <v>75</v>
      </c>
      <c r="AG46" s="21"/>
      <c r="AH46" s="21"/>
      <c r="AI46" s="21"/>
      <c r="AJ46" s="21"/>
      <c r="AK46" s="101"/>
      <c r="AL46" s="96"/>
      <c r="AM46" s="96"/>
      <c r="AN46" s="96" t="s">
        <v>77</v>
      </c>
      <c r="AO46" s="96"/>
      <c r="AP46" s="96"/>
      <c r="AQ46" s="96"/>
      <c r="AR46" s="96"/>
      <c r="AS46" s="96"/>
      <c r="AT46" s="96"/>
      <c r="AU46" s="114"/>
    </row>
    <row r="47" spans="1:47" s="20" customFormat="1" ht="18.75" customHeight="1">
      <c r="A47" s="20">
        <v>40</v>
      </c>
      <c r="B47" s="239"/>
      <c r="C47" s="22" t="s">
        <v>319</v>
      </c>
      <c r="D47" s="21">
        <f t="shared" si="0"/>
        <v>40</v>
      </c>
      <c r="E47" s="24" t="s">
        <v>60</v>
      </c>
      <c r="F47" s="21"/>
      <c r="G47" s="21"/>
      <c r="H47" s="24" t="s">
        <v>61</v>
      </c>
      <c r="I47" s="24" t="s">
        <v>82</v>
      </c>
      <c r="J47" s="24" t="s">
        <v>83</v>
      </c>
      <c r="K47" s="29" t="s">
        <v>84</v>
      </c>
      <c r="L47" s="22" t="s">
        <v>313</v>
      </c>
      <c r="M47" s="21" t="s">
        <v>86</v>
      </c>
      <c r="N47" s="21" t="s">
        <v>87</v>
      </c>
      <c r="O47" s="21" t="s">
        <v>186</v>
      </c>
      <c r="P47" s="21"/>
      <c r="Q47" s="21"/>
      <c r="R47" s="21"/>
      <c r="S47" s="21"/>
      <c r="T47" s="21">
        <v>2023</v>
      </c>
      <c r="U47" s="25" t="s">
        <v>69</v>
      </c>
      <c r="V47" s="21" t="s">
        <v>314</v>
      </c>
      <c r="W47" s="21" t="s">
        <v>315</v>
      </c>
      <c r="X47" s="21" t="s">
        <v>92</v>
      </c>
      <c r="Y47" s="21" t="s">
        <v>316</v>
      </c>
      <c r="Z47" s="21" t="s">
        <v>317</v>
      </c>
      <c r="AA47" s="26" t="s">
        <v>72</v>
      </c>
      <c r="AB47" s="21"/>
      <c r="AC47" s="21" t="s">
        <v>96</v>
      </c>
      <c r="AD47" s="21" t="s">
        <v>74</v>
      </c>
      <c r="AE47" s="29" t="s">
        <v>318</v>
      </c>
      <c r="AF47" s="26" t="s">
        <v>75</v>
      </c>
      <c r="AG47" s="21"/>
      <c r="AH47" s="21"/>
      <c r="AI47" s="21"/>
      <c r="AJ47" s="21"/>
      <c r="AK47" s="101"/>
      <c r="AL47" s="96"/>
      <c r="AM47" s="96" t="s">
        <v>77</v>
      </c>
      <c r="AN47" s="96"/>
      <c r="AO47" s="96"/>
      <c r="AP47" s="96"/>
      <c r="AQ47" s="96"/>
      <c r="AR47" s="96"/>
      <c r="AS47" s="96"/>
      <c r="AT47" s="96"/>
      <c r="AU47" s="114"/>
    </row>
    <row r="48" spans="1:47" s="20" customFormat="1" ht="18.75" customHeight="1">
      <c r="A48" s="20">
        <v>41</v>
      </c>
      <c r="B48" s="239" t="s">
        <v>321</v>
      </c>
      <c r="C48" s="22" t="s">
        <v>322</v>
      </c>
      <c r="D48" s="21">
        <f t="shared" si="0"/>
        <v>41</v>
      </c>
      <c r="E48" s="24" t="s">
        <v>60</v>
      </c>
      <c r="F48" s="21"/>
      <c r="G48" s="21"/>
      <c r="H48" s="24" t="s">
        <v>61</v>
      </c>
      <c r="I48" s="24" t="s">
        <v>82</v>
      </c>
      <c r="J48" s="24" t="s">
        <v>83</v>
      </c>
      <c r="K48" s="29" t="s">
        <v>84</v>
      </c>
      <c r="L48" s="22" t="s">
        <v>324</v>
      </c>
      <c r="M48" s="21" t="s">
        <v>86</v>
      </c>
      <c r="N48" s="21" t="s">
        <v>87</v>
      </c>
      <c r="O48" s="21" t="s">
        <v>211</v>
      </c>
      <c r="P48" s="21"/>
      <c r="Q48" s="21"/>
      <c r="R48" s="21"/>
      <c r="S48" s="21"/>
      <c r="T48" s="21">
        <v>2025</v>
      </c>
      <c r="U48" s="24" t="s">
        <v>89</v>
      </c>
      <c r="V48" s="21" t="s">
        <v>325</v>
      </c>
      <c r="W48" s="21" t="s">
        <v>326</v>
      </c>
      <c r="X48" s="21" t="s">
        <v>327</v>
      </c>
      <c r="Y48" s="21" t="s">
        <v>328</v>
      </c>
      <c r="Z48" s="113" t="s">
        <v>329</v>
      </c>
      <c r="AA48" s="26" t="s">
        <v>72</v>
      </c>
      <c r="AB48" s="21"/>
      <c r="AC48" s="21" t="s">
        <v>73</v>
      </c>
      <c r="AD48" s="21" t="s">
        <v>74</v>
      </c>
      <c r="AE48" s="22" t="s">
        <v>327</v>
      </c>
      <c r="AF48" s="26" t="s">
        <v>75</v>
      </c>
      <c r="AG48" s="21"/>
      <c r="AH48" s="21"/>
      <c r="AI48" s="21" t="s">
        <v>76</v>
      </c>
      <c r="AJ48" s="21"/>
      <c r="AK48" s="101"/>
      <c r="AL48" s="96" t="s">
        <v>77</v>
      </c>
      <c r="AM48" s="96"/>
      <c r="AN48" s="96"/>
      <c r="AO48" s="96"/>
      <c r="AP48" s="96"/>
      <c r="AQ48" s="96"/>
      <c r="AR48" s="96"/>
      <c r="AS48" s="96"/>
      <c r="AT48" s="96"/>
      <c r="AU48" s="114"/>
    </row>
    <row r="49" spans="1:47" s="42" customFormat="1" ht="18.75" customHeight="1">
      <c r="A49" s="42">
        <v>42</v>
      </c>
      <c r="B49" s="239"/>
      <c r="C49" s="43" t="s">
        <v>330</v>
      </c>
      <c r="D49" s="41">
        <f t="shared" si="0"/>
        <v>42</v>
      </c>
      <c r="E49" s="44" t="s">
        <v>60</v>
      </c>
      <c r="F49" s="41"/>
      <c r="G49" s="41"/>
      <c r="H49" s="44"/>
      <c r="I49" s="44"/>
      <c r="J49" s="44"/>
      <c r="K49" s="46"/>
      <c r="L49" s="46"/>
      <c r="M49" s="41"/>
      <c r="N49" s="41"/>
      <c r="O49" s="21"/>
      <c r="P49" s="41"/>
      <c r="Q49" s="41"/>
      <c r="R49" s="41"/>
      <c r="S49" s="41"/>
      <c r="T49" s="41"/>
      <c r="U49" s="44" t="s">
        <v>100</v>
      </c>
      <c r="V49" s="41"/>
      <c r="W49" s="41"/>
      <c r="X49" s="41"/>
      <c r="Y49" s="41"/>
      <c r="Z49" s="41"/>
      <c r="AA49" s="41"/>
      <c r="AB49" s="41"/>
      <c r="AC49" s="41"/>
      <c r="AD49" s="41"/>
      <c r="AE49" s="43"/>
      <c r="AF49" s="41"/>
      <c r="AG49" s="41"/>
      <c r="AH49" s="41"/>
      <c r="AI49" s="41"/>
      <c r="AJ49" s="41"/>
      <c r="AK49" s="99"/>
      <c r="AL49" s="97"/>
      <c r="AM49" s="97"/>
      <c r="AN49" s="97"/>
      <c r="AO49" s="97"/>
      <c r="AP49" s="97"/>
      <c r="AQ49" s="97"/>
      <c r="AR49" s="97"/>
      <c r="AS49" s="97"/>
      <c r="AT49" s="97"/>
      <c r="AU49" s="115"/>
    </row>
    <row r="50" spans="1:47" s="20" customFormat="1" ht="18.75" customHeight="1">
      <c r="A50" s="20">
        <v>43</v>
      </c>
      <c r="B50" s="239" t="s">
        <v>331</v>
      </c>
      <c r="C50" s="22" t="s">
        <v>332</v>
      </c>
      <c r="D50" s="21">
        <f t="shared" si="0"/>
        <v>43</v>
      </c>
      <c r="E50" s="24" t="s">
        <v>60</v>
      </c>
      <c r="F50" s="21"/>
      <c r="G50" s="21"/>
      <c r="H50" s="24" t="s">
        <v>61</v>
      </c>
      <c r="I50" s="24" t="s">
        <v>82</v>
      </c>
      <c r="J50" s="24" t="s">
        <v>83</v>
      </c>
      <c r="K50" s="29" t="s">
        <v>84</v>
      </c>
      <c r="L50" s="29" t="s">
        <v>334</v>
      </c>
      <c r="M50" s="21" t="s">
        <v>86</v>
      </c>
      <c r="N50" s="21" t="s">
        <v>87</v>
      </c>
      <c r="O50" s="21" t="s">
        <v>211</v>
      </c>
      <c r="P50" s="21"/>
      <c r="Q50" s="21"/>
      <c r="R50" s="21"/>
      <c r="S50" s="21"/>
      <c r="T50" s="21">
        <v>2016</v>
      </c>
      <c r="U50" s="25" t="s">
        <v>69</v>
      </c>
      <c r="V50" s="113" t="s">
        <v>335</v>
      </c>
      <c r="W50" s="113" t="s">
        <v>336</v>
      </c>
      <c r="X50" s="113" t="s">
        <v>335</v>
      </c>
      <c r="Y50" s="113" t="s">
        <v>336</v>
      </c>
      <c r="Z50" s="21"/>
      <c r="AA50" s="26" t="s">
        <v>72</v>
      </c>
      <c r="AB50" s="21"/>
      <c r="AC50" s="113" t="s">
        <v>288</v>
      </c>
      <c r="AD50" s="21" t="s">
        <v>74</v>
      </c>
      <c r="AE50" s="22" t="s">
        <v>336</v>
      </c>
      <c r="AF50" s="26" t="s">
        <v>214</v>
      </c>
      <c r="AG50" s="21"/>
      <c r="AH50" s="21"/>
      <c r="AI50" s="21"/>
      <c r="AJ50" s="21"/>
      <c r="AK50" s="101"/>
      <c r="AL50" s="96"/>
      <c r="AM50" s="96"/>
      <c r="AN50" s="96"/>
      <c r="AO50" s="96"/>
      <c r="AP50" s="96" t="s">
        <v>77</v>
      </c>
      <c r="AQ50" s="96"/>
      <c r="AR50" s="96"/>
      <c r="AS50" s="96"/>
      <c r="AT50" s="96"/>
      <c r="AU50" s="114"/>
    </row>
    <row r="51" spans="1:47" s="20" customFormat="1" ht="18.75" customHeight="1">
      <c r="A51" s="20">
        <v>44</v>
      </c>
      <c r="B51" s="239"/>
      <c r="C51" s="22" t="s">
        <v>337</v>
      </c>
      <c r="D51" s="21">
        <f t="shared" si="0"/>
        <v>44</v>
      </c>
      <c r="E51" s="24" t="s">
        <v>60</v>
      </c>
      <c r="F51" s="21"/>
      <c r="G51" s="21"/>
      <c r="H51" s="24" t="s">
        <v>61</v>
      </c>
      <c r="I51" s="24" t="s">
        <v>82</v>
      </c>
      <c r="J51" s="24" t="s">
        <v>83</v>
      </c>
      <c r="K51" s="29" t="s">
        <v>84</v>
      </c>
      <c r="L51" s="29" t="s">
        <v>334</v>
      </c>
      <c r="M51" s="21" t="s">
        <v>86</v>
      </c>
      <c r="N51" s="21" t="s">
        <v>87</v>
      </c>
      <c r="O51" s="21" t="s">
        <v>186</v>
      </c>
      <c r="P51" s="21"/>
      <c r="Q51" s="21"/>
      <c r="R51" s="21"/>
      <c r="S51" s="21"/>
      <c r="T51" s="21">
        <v>2012</v>
      </c>
      <c r="U51" s="25" t="s">
        <v>69</v>
      </c>
      <c r="V51" s="113" t="s">
        <v>335</v>
      </c>
      <c r="W51" s="113" t="s">
        <v>336</v>
      </c>
      <c r="X51" s="113" t="s">
        <v>335</v>
      </c>
      <c r="Y51" s="113" t="s">
        <v>336</v>
      </c>
      <c r="Z51" s="21"/>
      <c r="AA51" s="26" t="s">
        <v>72</v>
      </c>
      <c r="AB51" s="21"/>
      <c r="AC51" s="113" t="s">
        <v>120</v>
      </c>
      <c r="AD51" s="21" t="s">
        <v>74</v>
      </c>
      <c r="AE51" s="22" t="s">
        <v>336</v>
      </c>
      <c r="AF51" s="26" t="s">
        <v>75</v>
      </c>
      <c r="AG51" s="21"/>
      <c r="AH51" s="21"/>
      <c r="AI51" s="21"/>
      <c r="AJ51" s="21"/>
      <c r="AK51" s="101" t="s">
        <v>339</v>
      </c>
      <c r="AL51" s="96"/>
      <c r="AM51" s="96" t="s">
        <v>77</v>
      </c>
      <c r="AN51" s="96"/>
      <c r="AO51" s="96"/>
      <c r="AP51" s="96"/>
      <c r="AQ51" s="96"/>
      <c r="AR51" s="96"/>
      <c r="AS51" s="96"/>
      <c r="AT51" s="96"/>
      <c r="AU51" s="114"/>
    </row>
    <row r="52" spans="1:47" s="20" customFormat="1" ht="18.75" customHeight="1">
      <c r="A52" s="20">
        <v>45</v>
      </c>
      <c r="B52" s="239"/>
      <c r="C52" s="22" t="s">
        <v>340</v>
      </c>
      <c r="D52" s="21">
        <f t="shared" si="0"/>
        <v>45</v>
      </c>
      <c r="E52" s="24" t="s">
        <v>60</v>
      </c>
      <c r="F52" s="21"/>
      <c r="G52" s="21"/>
      <c r="H52" s="24" t="s">
        <v>61</v>
      </c>
      <c r="I52" s="24" t="s">
        <v>82</v>
      </c>
      <c r="J52" s="24" t="s">
        <v>83</v>
      </c>
      <c r="K52" s="29" t="s">
        <v>84</v>
      </c>
      <c r="L52" s="29" t="s">
        <v>334</v>
      </c>
      <c r="M52" s="24" t="s">
        <v>239</v>
      </c>
      <c r="N52" s="40" t="s">
        <v>121</v>
      </c>
      <c r="O52" s="21" t="s">
        <v>240</v>
      </c>
      <c r="P52" s="21"/>
      <c r="Q52" s="21"/>
      <c r="R52" s="21"/>
      <c r="S52" s="21"/>
      <c r="T52" s="21">
        <v>2015</v>
      </c>
      <c r="U52" s="25" t="s">
        <v>69</v>
      </c>
      <c r="V52" s="113" t="s">
        <v>335</v>
      </c>
      <c r="W52" s="113" t="s">
        <v>336</v>
      </c>
      <c r="X52" s="113" t="s">
        <v>335</v>
      </c>
      <c r="Y52" s="113" t="s">
        <v>336</v>
      </c>
      <c r="Z52" s="21"/>
      <c r="AA52" s="26" t="s">
        <v>72</v>
      </c>
      <c r="AB52" s="21"/>
      <c r="AC52" s="113" t="s">
        <v>120</v>
      </c>
      <c r="AD52" s="21" t="s">
        <v>74</v>
      </c>
      <c r="AE52" s="22" t="s">
        <v>336</v>
      </c>
      <c r="AF52" s="26" t="s">
        <v>75</v>
      </c>
      <c r="AG52" s="21"/>
      <c r="AH52" s="21"/>
      <c r="AI52" s="21"/>
      <c r="AJ52" s="21"/>
      <c r="AK52" s="101"/>
      <c r="AL52" s="96"/>
      <c r="AM52" s="96"/>
      <c r="AN52" s="96" t="s">
        <v>77</v>
      </c>
      <c r="AO52" s="96"/>
      <c r="AP52" s="96"/>
      <c r="AQ52" s="96"/>
      <c r="AR52" s="96"/>
      <c r="AS52" s="96"/>
      <c r="AT52" s="96"/>
      <c r="AU52" s="114"/>
    </row>
    <row r="53" spans="1:47" s="20" customFormat="1" ht="18.75" customHeight="1">
      <c r="A53" s="20">
        <v>46</v>
      </c>
      <c r="B53" s="239" t="s">
        <v>342</v>
      </c>
      <c r="C53" s="22" t="s">
        <v>343</v>
      </c>
      <c r="D53" s="21">
        <f t="shared" si="0"/>
        <v>46</v>
      </c>
      <c r="E53" s="24" t="s">
        <v>60</v>
      </c>
      <c r="F53" s="21"/>
      <c r="G53" s="21"/>
      <c r="H53" s="24" t="s">
        <v>61</v>
      </c>
      <c r="I53" s="24" t="s">
        <v>82</v>
      </c>
      <c r="J53" s="24" t="s">
        <v>83</v>
      </c>
      <c r="K53" s="29" t="s">
        <v>84</v>
      </c>
      <c r="L53" s="29" t="s">
        <v>345</v>
      </c>
      <c r="M53" s="21" t="s">
        <v>86</v>
      </c>
      <c r="N53" s="21" t="s">
        <v>87</v>
      </c>
      <c r="O53" s="21" t="s">
        <v>211</v>
      </c>
      <c r="P53" s="21"/>
      <c r="Q53" s="21"/>
      <c r="R53" s="21"/>
      <c r="S53" s="21"/>
      <c r="T53" s="21">
        <v>2011</v>
      </c>
      <c r="U53" s="24" t="s">
        <v>89</v>
      </c>
      <c r="V53" s="21" t="s">
        <v>346</v>
      </c>
      <c r="W53" s="21" t="s">
        <v>347</v>
      </c>
      <c r="X53" s="21" t="s">
        <v>348</v>
      </c>
      <c r="Y53" s="21" t="s">
        <v>100</v>
      </c>
      <c r="Z53" s="21"/>
      <c r="AA53" s="26" t="s">
        <v>72</v>
      </c>
      <c r="AB53" s="21"/>
      <c r="AC53" s="113" t="s">
        <v>349</v>
      </c>
      <c r="AD53" s="21" t="s">
        <v>121</v>
      </c>
      <c r="AE53" s="22" t="s">
        <v>350</v>
      </c>
      <c r="AF53" s="21" t="s">
        <v>121</v>
      </c>
      <c r="AG53" s="21"/>
      <c r="AH53" s="21"/>
      <c r="AI53" s="21"/>
      <c r="AJ53" s="21"/>
      <c r="AK53" s="101"/>
      <c r="AL53" s="96" t="s">
        <v>77</v>
      </c>
      <c r="AM53" s="96" t="s">
        <v>77</v>
      </c>
      <c r="AN53" s="96"/>
      <c r="AO53" s="96" t="s">
        <v>77</v>
      </c>
      <c r="AP53" s="96"/>
      <c r="AQ53" s="96"/>
      <c r="AR53" s="96" t="s">
        <v>77</v>
      </c>
      <c r="AS53" s="96" t="s">
        <v>77</v>
      </c>
      <c r="AT53" s="96"/>
      <c r="AU53" s="114" t="s">
        <v>177</v>
      </c>
    </row>
    <row r="54" spans="1:47" s="20" customFormat="1" ht="18.75" customHeight="1">
      <c r="A54" s="20">
        <v>47</v>
      </c>
      <c r="B54" s="239"/>
      <c r="C54" s="22" t="s">
        <v>351</v>
      </c>
      <c r="D54" s="21">
        <f t="shared" si="0"/>
        <v>47</v>
      </c>
      <c r="E54" s="24" t="s">
        <v>60</v>
      </c>
      <c r="F54" s="21"/>
      <c r="G54" s="21"/>
      <c r="H54" s="24" t="s">
        <v>61</v>
      </c>
      <c r="I54" s="24" t="s">
        <v>82</v>
      </c>
      <c r="J54" s="24" t="s">
        <v>83</v>
      </c>
      <c r="K54" s="29" t="s">
        <v>84</v>
      </c>
      <c r="L54" s="22" t="s">
        <v>353</v>
      </c>
      <c r="M54" s="21" t="s">
        <v>86</v>
      </c>
      <c r="N54" s="21" t="s">
        <v>87</v>
      </c>
      <c r="O54" s="21" t="s">
        <v>211</v>
      </c>
      <c r="P54" s="21"/>
      <c r="Q54" s="21"/>
      <c r="R54" s="21"/>
      <c r="S54" s="21"/>
      <c r="T54" s="21">
        <v>2015</v>
      </c>
      <c r="U54" s="25" t="s">
        <v>69</v>
      </c>
      <c r="V54" s="113" t="s">
        <v>354</v>
      </c>
      <c r="W54" s="113" t="s">
        <v>355</v>
      </c>
      <c r="X54" s="113" t="s">
        <v>70</v>
      </c>
      <c r="Y54" s="113" t="s">
        <v>71</v>
      </c>
      <c r="Z54" s="21"/>
      <c r="AA54" s="26" t="s">
        <v>72</v>
      </c>
      <c r="AB54" s="21"/>
      <c r="AC54" s="21" t="s">
        <v>96</v>
      </c>
      <c r="AD54" s="21" t="s">
        <v>74</v>
      </c>
      <c r="AE54" s="22" t="s">
        <v>356</v>
      </c>
      <c r="AF54" s="26" t="s">
        <v>75</v>
      </c>
      <c r="AG54" s="21"/>
      <c r="AH54" s="21"/>
      <c r="AI54" s="21"/>
      <c r="AJ54" s="21"/>
      <c r="AK54" s="101"/>
      <c r="AL54" s="96"/>
      <c r="AM54" s="96" t="s">
        <v>77</v>
      </c>
      <c r="AN54" s="96"/>
      <c r="AO54" s="96"/>
      <c r="AP54" s="96"/>
      <c r="AQ54" s="96"/>
      <c r="AR54" s="96"/>
      <c r="AS54" s="96"/>
      <c r="AT54" s="96"/>
      <c r="AU54" s="114"/>
    </row>
    <row r="55" spans="1:47" s="20" customFormat="1" ht="18.75" customHeight="1">
      <c r="A55" s="20">
        <v>48</v>
      </c>
      <c r="B55" s="239"/>
      <c r="C55" s="22" t="s">
        <v>357</v>
      </c>
      <c r="D55" s="21">
        <f t="shared" si="0"/>
        <v>48</v>
      </c>
      <c r="E55" s="24" t="s">
        <v>60</v>
      </c>
      <c r="F55" s="21"/>
      <c r="G55" s="21"/>
      <c r="H55" s="24" t="s">
        <v>61</v>
      </c>
      <c r="I55" s="24" t="s">
        <v>82</v>
      </c>
      <c r="J55" s="24" t="s">
        <v>83</v>
      </c>
      <c r="K55" s="29" t="s">
        <v>84</v>
      </c>
      <c r="L55" s="22" t="s">
        <v>359</v>
      </c>
      <c r="M55" s="21" t="s">
        <v>86</v>
      </c>
      <c r="N55" s="21" t="s">
        <v>87</v>
      </c>
      <c r="O55" s="21" t="s">
        <v>211</v>
      </c>
      <c r="P55" s="21"/>
      <c r="Q55" s="21"/>
      <c r="R55" s="21"/>
      <c r="S55" s="21"/>
      <c r="T55" s="21">
        <v>2020</v>
      </c>
      <c r="U55" s="25" t="s">
        <v>69</v>
      </c>
      <c r="V55" s="21" t="s">
        <v>157</v>
      </c>
      <c r="W55" s="21" t="s">
        <v>217</v>
      </c>
      <c r="X55" s="21" t="s">
        <v>92</v>
      </c>
      <c r="Y55" s="21" t="s">
        <v>192</v>
      </c>
      <c r="Z55" s="21"/>
      <c r="AA55" s="21" t="s">
        <v>94</v>
      </c>
      <c r="AB55" s="21" t="s">
        <v>95</v>
      </c>
      <c r="AC55" s="21" t="s">
        <v>96</v>
      </c>
      <c r="AD55" s="21" t="s">
        <v>74</v>
      </c>
      <c r="AE55" s="22" t="s">
        <v>92</v>
      </c>
      <c r="AF55" s="26" t="s">
        <v>75</v>
      </c>
      <c r="AG55" s="21"/>
      <c r="AH55" s="21"/>
      <c r="AI55" s="21" t="s">
        <v>76</v>
      </c>
      <c r="AJ55" s="21" t="s">
        <v>97</v>
      </c>
      <c r="AK55" s="101"/>
      <c r="AL55" s="96" t="s">
        <v>77</v>
      </c>
      <c r="AM55" s="96" t="s">
        <v>77</v>
      </c>
      <c r="AN55" s="96"/>
      <c r="AO55" s="96" t="s">
        <v>77</v>
      </c>
      <c r="AP55" s="96"/>
      <c r="AQ55" s="96"/>
      <c r="AR55" s="96"/>
      <c r="AS55" s="96"/>
      <c r="AT55" s="96"/>
      <c r="AU55" s="114"/>
    </row>
    <row r="56" spans="1:47" s="20" customFormat="1" ht="18.75" customHeight="1">
      <c r="A56" s="20">
        <v>49</v>
      </c>
      <c r="B56" s="241" t="s">
        <v>360</v>
      </c>
      <c r="C56" s="22" t="s">
        <v>361</v>
      </c>
      <c r="D56" s="21">
        <f t="shared" si="0"/>
        <v>49</v>
      </c>
      <c r="E56" s="24" t="s">
        <v>60</v>
      </c>
      <c r="F56" s="21"/>
      <c r="G56" s="21"/>
      <c r="H56" s="24" t="s">
        <v>61</v>
      </c>
      <c r="I56" s="21" t="s">
        <v>363</v>
      </c>
      <c r="J56" s="21" t="s">
        <v>364</v>
      </c>
      <c r="K56" s="22" t="s">
        <v>365</v>
      </c>
      <c r="L56" s="22" t="s">
        <v>366</v>
      </c>
      <c r="M56" s="21" t="s">
        <v>86</v>
      </c>
      <c r="N56" s="21" t="s">
        <v>87</v>
      </c>
      <c r="O56" s="21" t="s">
        <v>211</v>
      </c>
      <c r="P56" s="21"/>
      <c r="Q56" s="21"/>
      <c r="R56" s="21"/>
      <c r="S56" s="21"/>
      <c r="T56" s="21"/>
      <c r="U56" s="24" t="s">
        <v>89</v>
      </c>
      <c r="V56" s="21" t="s">
        <v>367</v>
      </c>
      <c r="W56" s="21" t="s">
        <v>367</v>
      </c>
      <c r="X56" s="21" t="s">
        <v>367</v>
      </c>
      <c r="Y56" s="21" t="s">
        <v>367</v>
      </c>
      <c r="Z56" s="21"/>
      <c r="AA56" s="26" t="s">
        <v>72</v>
      </c>
      <c r="AB56" s="21"/>
      <c r="AC56" s="21" t="s">
        <v>368</v>
      </c>
      <c r="AD56" s="21" t="s">
        <v>121</v>
      </c>
      <c r="AE56" s="22" t="s">
        <v>367</v>
      </c>
      <c r="AF56" s="21" t="s">
        <v>369</v>
      </c>
      <c r="AG56" s="21"/>
      <c r="AH56" s="21"/>
      <c r="AI56" s="21"/>
      <c r="AJ56" s="21" t="s">
        <v>97</v>
      </c>
      <c r="AK56" s="101"/>
      <c r="AL56" s="96" t="s">
        <v>77</v>
      </c>
      <c r="AM56" s="96" t="s">
        <v>77</v>
      </c>
      <c r="AN56" s="96"/>
      <c r="AO56" s="96" t="s">
        <v>77</v>
      </c>
      <c r="AP56" s="96"/>
      <c r="AQ56" s="96"/>
      <c r="AR56" s="96" t="s">
        <v>77</v>
      </c>
      <c r="AS56" s="96" t="s">
        <v>77</v>
      </c>
      <c r="AT56" s="96"/>
      <c r="AU56" s="114" t="s">
        <v>153</v>
      </c>
    </row>
    <row r="57" spans="1:47" s="20" customFormat="1" ht="18.75" customHeight="1">
      <c r="A57" s="20">
        <v>50</v>
      </c>
      <c r="B57" s="242"/>
      <c r="C57" s="22" t="s">
        <v>370</v>
      </c>
      <c r="D57" s="21">
        <f t="shared" si="0"/>
        <v>50</v>
      </c>
      <c r="E57" s="24" t="s">
        <v>60</v>
      </c>
      <c r="F57" s="21"/>
      <c r="G57" s="21"/>
      <c r="H57" s="24" t="s">
        <v>61</v>
      </c>
      <c r="I57" s="21" t="s">
        <v>363</v>
      </c>
      <c r="J57" s="21" t="s">
        <v>364</v>
      </c>
      <c r="K57" s="22" t="s">
        <v>365</v>
      </c>
      <c r="L57" s="22" t="s">
        <v>1632</v>
      </c>
      <c r="M57" s="21" t="s">
        <v>86</v>
      </c>
      <c r="N57" s="21" t="s">
        <v>87</v>
      </c>
      <c r="O57" s="21" t="s">
        <v>211</v>
      </c>
      <c r="P57" s="21"/>
      <c r="Q57" s="21"/>
      <c r="R57" s="21"/>
      <c r="S57" s="21"/>
      <c r="T57" s="21"/>
      <c r="U57" s="24" t="s">
        <v>89</v>
      </c>
      <c r="V57" s="21" t="s">
        <v>367</v>
      </c>
      <c r="W57" s="21" t="s">
        <v>367</v>
      </c>
      <c r="X57" s="21" t="s">
        <v>367</v>
      </c>
      <c r="Y57" s="21" t="s">
        <v>367</v>
      </c>
      <c r="Z57" s="21"/>
      <c r="AA57" s="26" t="s">
        <v>72</v>
      </c>
      <c r="AB57" s="21"/>
      <c r="AC57" s="21" t="s">
        <v>368</v>
      </c>
      <c r="AD57" s="21" t="s">
        <v>121</v>
      </c>
      <c r="AE57" s="22" t="s">
        <v>367</v>
      </c>
      <c r="AF57" s="21" t="s">
        <v>369</v>
      </c>
      <c r="AG57" s="21"/>
      <c r="AH57" s="21"/>
      <c r="AI57" s="21"/>
      <c r="AJ57" s="21" t="s">
        <v>97</v>
      </c>
      <c r="AK57" s="101"/>
      <c r="AL57" s="96" t="s">
        <v>77</v>
      </c>
      <c r="AM57" s="96" t="s">
        <v>77</v>
      </c>
      <c r="AN57" s="96"/>
      <c r="AO57" s="96" t="s">
        <v>77</v>
      </c>
      <c r="AP57" s="96"/>
      <c r="AQ57" s="96"/>
      <c r="AR57" s="96" t="s">
        <v>77</v>
      </c>
      <c r="AS57" s="96" t="s">
        <v>77</v>
      </c>
      <c r="AT57" s="96" t="s">
        <v>373</v>
      </c>
      <c r="AU57" s="114" t="s">
        <v>374</v>
      </c>
    </row>
    <row r="58" spans="1:47" s="20" customFormat="1" ht="18.75" customHeight="1">
      <c r="A58" s="20">
        <v>51</v>
      </c>
      <c r="B58" s="243"/>
      <c r="C58" s="22" t="s">
        <v>375</v>
      </c>
      <c r="D58" s="21">
        <f t="shared" si="0"/>
        <v>51</v>
      </c>
      <c r="E58" s="24" t="s">
        <v>60</v>
      </c>
      <c r="F58" s="21"/>
      <c r="G58" s="21"/>
      <c r="H58" s="24" t="s">
        <v>61</v>
      </c>
      <c r="I58" s="21" t="s">
        <v>363</v>
      </c>
      <c r="J58" s="21" t="s">
        <v>364</v>
      </c>
      <c r="K58" s="22" t="s">
        <v>365</v>
      </c>
      <c r="L58" s="22" t="s">
        <v>1633</v>
      </c>
      <c r="M58" s="21" t="s">
        <v>86</v>
      </c>
      <c r="N58" s="21" t="s">
        <v>87</v>
      </c>
      <c r="O58" s="21" t="s">
        <v>211</v>
      </c>
      <c r="P58" s="21"/>
      <c r="Q58" s="21"/>
      <c r="R58" s="21"/>
      <c r="S58" s="21"/>
      <c r="T58" s="21"/>
      <c r="U58" s="24" t="s">
        <v>89</v>
      </c>
      <c r="V58" s="21" t="s">
        <v>367</v>
      </c>
      <c r="W58" s="21" t="s">
        <v>367</v>
      </c>
      <c r="X58" s="21" t="s">
        <v>367</v>
      </c>
      <c r="Y58" s="21" t="s">
        <v>367</v>
      </c>
      <c r="Z58" s="21"/>
      <c r="AA58" s="26" t="s">
        <v>72</v>
      </c>
      <c r="AB58" s="21"/>
      <c r="AC58" s="21" t="s">
        <v>377</v>
      </c>
      <c r="AD58" s="21" t="s">
        <v>121</v>
      </c>
      <c r="AE58" s="22" t="s">
        <v>367</v>
      </c>
      <c r="AF58" s="21" t="s">
        <v>121</v>
      </c>
      <c r="AG58" s="21"/>
      <c r="AH58" s="21"/>
      <c r="AI58" s="21"/>
      <c r="AJ58" s="21" t="s">
        <v>97</v>
      </c>
      <c r="AK58" s="101"/>
      <c r="AL58" s="96" t="s">
        <v>77</v>
      </c>
      <c r="AM58" s="96" t="s">
        <v>77</v>
      </c>
      <c r="AN58" s="96"/>
      <c r="AO58" s="96" t="s">
        <v>77</v>
      </c>
      <c r="AP58" s="96"/>
      <c r="AQ58" s="96"/>
      <c r="AR58" s="96" t="s">
        <v>77</v>
      </c>
      <c r="AS58" s="96"/>
      <c r="AT58" s="96"/>
      <c r="AU58" s="114"/>
    </row>
    <row r="59" spans="1:47" s="20" customFormat="1" ht="18.75" customHeight="1">
      <c r="A59" s="20">
        <v>52</v>
      </c>
      <c r="B59" s="21" t="s">
        <v>378</v>
      </c>
      <c r="C59" s="22" t="s">
        <v>378</v>
      </c>
      <c r="D59" s="21">
        <f t="shared" si="0"/>
        <v>52</v>
      </c>
      <c r="E59" s="24" t="s">
        <v>60</v>
      </c>
      <c r="F59" s="21"/>
      <c r="G59" s="21"/>
      <c r="H59" s="24" t="s">
        <v>61</v>
      </c>
      <c r="I59" s="21" t="s">
        <v>380</v>
      </c>
      <c r="J59" s="21" t="s">
        <v>381</v>
      </c>
      <c r="K59" s="22" t="s">
        <v>382</v>
      </c>
      <c r="L59" s="22" t="s">
        <v>1634</v>
      </c>
      <c r="M59" s="21" t="s">
        <v>86</v>
      </c>
      <c r="N59" s="21" t="s">
        <v>87</v>
      </c>
      <c r="O59" s="21" t="s">
        <v>68</v>
      </c>
      <c r="P59" s="21"/>
      <c r="Q59" s="21"/>
      <c r="R59" s="21"/>
      <c r="S59" s="21"/>
      <c r="T59" s="21"/>
      <c r="U59" s="24" t="s">
        <v>89</v>
      </c>
      <c r="V59" s="21" t="s">
        <v>134</v>
      </c>
      <c r="W59" s="21" t="s">
        <v>384</v>
      </c>
      <c r="X59" s="21" t="s">
        <v>385</v>
      </c>
      <c r="Y59" s="21" t="s">
        <v>386</v>
      </c>
      <c r="Z59" s="21"/>
      <c r="AA59" s="26" t="s">
        <v>72</v>
      </c>
      <c r="AB59" s="21"/>
      <c r="AC59" s="21"/>
      <c r="AD59" s="21"/>
      <c r="AE59" s="22"/>
      <c r="AF59" s="21"/>
      <c r="AG59" s="21"/>
      <c r="AH59" s="21"/>
      <c r="AI59" s="21"/>
      <c r="AJ59" s="21"/>
      <c r="AK59" s="101"/>
      <c r="AL59" s="96" t="s">
        <v>77</v>
      </c>
      <c r="AM59" s="96" t="s">
        <v>77</v>
      </c>
      <c r="AN59" s="96" t="s">
        <v>77</v>
      </c>
      <c r="AO59" s="96" t="s">
        <v>77</v>
      </c>
      <c r="AP59" s="96" t="s">
        <v>77</v>
      </c>
      <c r="AQ59" s="96" t="s">
        <v>77</v>
      </c>
      <c r="AR59" s="96" t="s">
        <v>77</v>
      </c>
      <c r="AS59" s="96"/>
      <c r="AT59" s="96"/>
      <c r="AU59" s="114"/>
    </row>
    <row r="60" spans="1:47" s="20" customFormat="1" ht="18.75" customHeight="1">
      <c r="A60" s="20">
        <v>53</v>
      </c>
      <c r="B60" s="241" t="s">
        <v>387</v>
      </c>
      <c r="C60" s="22" t="s">
        <v>388</v>
      </c>
      <c r="D60" s="21">
        <f t="shared" si="0"/>
        <v>53</v>
      </c>
      <c r="E60" s="24" t="s">
        <v>60</v>
      </c>
      <c r="F60" s="21"/>
      <c r="G60" s="21"/>
      <c r="H60" s="24" t="s">
        <v>61</v>
      </c>
      <c r="I60" s="21" t="s">
        <v>380</v>
      </c>
      <c r="J60" s="21" t="s">
        <v>381</v>
      </c>
      <c r="K60" s="22" t="s">
        <v>390</v>
      </c>
      <c r="L60" s="22" t="s">
        <v>391</v>
      </c>
      <c r="M60" s="21" t="s">
        <v>86</v>
      </c>
      <c r="N60" s="21" t="s">
        <v>87</v>
      </c>
      <c r="O60" s="21" t="s">
        <v>68</v>
      </c>
      <c r="P60" s="21"/>
      <c r="Q60" s="21"/>
      <c r="R60" s="21"/>
      <c r="S60" s="21"/>
      <c r="T60" s="21">
        <v>2019</v>
      </c>
      <c r="U60" s="24" t="s">
        <v>89</v>
      </c>
      <c r="V60" s="21" t="s">
        <v>392</v>
      </c>
      <c r="W60" s="113" t="s">
        <v>393</v>
      </c>
      <c r="X60" s="113" t="s">
        <v>394</v>
      </c>
      <c r="Y60" s="113" t="s">
        <v>395</v>
      </c>
      <c r="Z60" s="21"/>
      <c r="AA60" s="26" t="s">
        <v>72</v>
      </c>
      <c r="AB60" s="21"/>
      <c r="AC60" s="113" t="s">
        <v>396</v>
      </c>
      <c r="AD60" s="21" t="s">
        <v>397</v>
      </c>
      <c r="AE60" s="22" t="s">
        <v>398</v>
      </c>
      <c r="AF60" s="21" t="s">
        <v>397</v>
      </c>
      <c r="AG60" s="21"/>
      <c r="AH60" s="21"/>
      <c r="AI60" s="21"/>
      <c r="AJ60" s="21"/>
      <c r="AK60" s="135" t="s">
        <v>399</v>
      </c>
      <c r="AL60" s="96" t="s">
        <v>77</v>
      </c>
      <c r="AM60" s="96" t="s">
        <v>77</v>
      </c>
      <c r="AN60" s="96" t="s">
        <v>77</v>
      </c>
      <c r="AO60" s="96" t="s">
        <v>77</v>
      </c>
      <c r="AP60" s="96" t="s">
        <v>77</v>
      </c>
      <c r="AQ60" s="96" t="s">
        <v>77</v>
      </c>
      <c r="AR60" s="96" t="s">
        <v>77</v>
      </c>
      <c r="AS60" s="96" t="s">
        <v>77</v>
      </c>
      <c r="AT60" s="96"/>
      <c r="AU60" s="114" t="s">
        <v>177</v>
      </c>
    </row>
    <row r="61" spans="1:47" s="20" customFormat="1" ht="18.75" customHeight="1">
      <c r="A61" s="20">
        <v>54</v>
      </c>
      <c r="B61" s="242"/>
      <c r="C61" s="22" t="s">
        <v>400</v>
      </c>
      <c r="D61" s="21">
        <f t="shared" si="0"/>
        <v>54</v>
      </c>
      <c r="E61" s="24" t="s">
        <v>60</v>
      </c>
      <c r="F61" s="21"/>
      <c r="G61" s="21"/>
      <c r="H61" s="24" t="s">
        <v>61</v>
      </c>
      <c r="I61" s="21" t="s">
        <v>380</v>
      </c>
      <c r="J61" s="21" t="s">
        <v>381</v>
      </c>
      <c r="K61" s="22" t="s">
        <v>390</v>
      </c>
      <c r="L61" s="22" t="s">
        <v>391</v>
      </c>
      <c r="M61" s="21" t="s">
        <v>86</v>
      </c>
      <c r="N61" s="21" t="s">
        <v>87</v>
      </c>
      <c r="O61" s="21" t="s">
        <v>68</v>
      </c>
      <c r="P61" s="21"/>
      <c r="Q61" s="21"/>
      <c r="R61" s="21"/>
      <c r="S61" s="21"/>
      <c r="T61" s="21">
        <v>2014</v>
      </c>
      <c r="U61" s="24" t="s">
        <v>89</v>
      </c>
      <c r="V61" s="21" t="s">
        <v>392</v>
      </c>
      <c r="W61" s="113" t="s">
        <v>393</v>
      </c>
      <c r="X61" s="113" t="s">
        <v>394</v>
      </c>
      <c r="Y61" s="113" t="s">
        <v>395</v>
      </c>
      <c r="Z61" s="21"/>
      <c r="AA61" s="26" t="s">
        <v>72</v>
      </c>
      <c r="AB61" s="21"/>
      <c r="AC61" s="113" t="s">
        <v>396</v>
      </c>
      <c r="AD61" s="21" t="s">
        <v>397</v>
      </c>
      <c r="AE61" s="22" t="s">
        <v>398</v>
      </c>
      <c r="AF61" s="21" t="s">
        <v>397</v>
      </c>
      <c r="AG61" s="21"/>
      <c r="AH61" s="21"/>
      <c r="AI61" s="21"/>
      <c r="AJ61" s="21"/>
      <c r="AK61" s="101" t="s">
        <v>402</v>
      </c>
      <c r="AL61" s="96"/>
      <c r="AM61" s="96" t="s">
        <v>77</v>
      </c>
      <c r="AN61" s="96" t="s">
        <v>77</v>
      </c>
      <c r="AO61" s="96"/>
      <c r="AP61" s="96"/>
      <c r="AQ61" s="96"/>
      <c r="AR61" s="96"/>
      <c r="AS61" s="96" t="s">
        <v>77</v>
      </c>
      <c r="AT61" s="96"/>
      <c r="AU61" s="114" t="s">
        <v>177</v>
      </c>
    </row>
    <row r="62" spans="1:47" s="20" customFormat="1" ht="18.75" customHeight="1">
      <c r="A62" s="20">
        <v>55</v>
      </c>
      <c r="B62" s="243"/>
      <c r="C62" s="22" t="s">
        <v>403</v>
      </c>
      <c r="D62" s="21">
        <f t="shared" si="0"/>
        <v>55</v>
      </c>
      <c r="E62" s="24" t="s">
        <v>60</v>
      </c>
      <c r="F62" s="21"/>
      <c r="G62" s="21"/>
      <c r="H62" s="24" t="s">
        <v>61</v>
      </c>
      <c r="I62" s="21" t="s">
        <v>380</v>
      </c>
      <c r="J62" s="21" t="s">
        <v>381</v>
      </c>
      <c r="K62" s="22" t="s">
        <v>390</v>
      </c>
      <c r="L62" s="22" t="s">
        <v>391</v>
      </c>
      <c r="M62" s="21" t="s">
        <v>86</v>
      </c>
      <c r="N62" s="21" t="s">
        <v>87</v>
      </c>
      <c r="O62" s="21" t="s">
        <v>68</v>
      </c>
      <c r="P62" s="21"/>
      <c r="Q62" s="21"/>
      <c r="R62" s="21"/>
      <c r="S62" s="21"/>
      <c r="T62" s="21">
        <v>2012</v>
      </c>
      <c r="U62" s="24" t="s">
        <v>89</v>
      </c>
      <c r="V62" s="21" t="s">
        <v>392</v>
      </c>
      <c r="W62" s="113" t="s">
        <v>393</v>
      </c>
      <c r="X62" s="113" t="s">
        <v>394</v>
      </c>
      <c r="Y62" s="113" t="s">
        <v>395</v>
      </c>
      <c r="Z62" s="21"/>
      <c r="AA62" s="26" t="s">
        <v>72</v>
      </c>
      <c r="AB62" s="21"/>
      <c r="AC62" s="113" t="s">
        <v>396</v>
      </c>
      <c r="AD62" s="21" t="s">
        <v>397</v>
      </c>
      <c r="AE62" s="22" t="s">
        <v>398</v>
      </c>
      <c r="AF62" s="21" t="s">
        <v>397</v>
      </c>
      <c r="AG62" s="21"/>
      <c r="AH62" s="21"/>
      <c r="AI62" s="21"/>
      <c r="AJ62" s="21"/>
      <c r="AK62" s="101" t="s">
        <v>404</v>
      </c>
      <c r="AL62" s="96"/>
      <c r="AM62" s="96" t="s">
        <v>77</v>
      </c>
      <c r="AN62" s="96" t="s">
        <v>77</v>
      </c>
      <c r="AO62" s="96"/>
      <c r="AP62" s="96"/>
      <c r="AQ62" s="96"/>
      <c r="AR62" s="96"/>
      <c r="AS62" s="96" t="s">
        <v>77</v>
      </c>
      <c r="AT62" s="96"/>
      <c r="AU62" s="114" t="s">
        <v>177</v>
      </c>
    </row>
  </sheetData>
  <autoFilter ref="A3:AU62" xr:uid="{6BC3ED1A-F3AB-47EF-A96F-99A1C456B024}"/>
  <mergeCells count="21">
    <mergeCell ref="B17:B18"/>
    <mergeCell ref="H2:L2"/>
    <mergeCell ref="M2:O2"/>
    <mergeCell ref="P2:S2"/>
    <mergeCell ref="V2:W2"/>
    <mergeCell ref="AD2:AF2"/>
    <mergeCell ref="AG2:AI2"/>
    <mergeCell ref="AK2:AK3"/>
    <mergeCell ref="AL2:AU2"/>
    <mergeCell ref="B4:B16"/>
    <mergeCell ref="X2:Y2"/>
    <mergeCell ref="AA2:AC2"/>
    <mergeCell ref="B53:B55"/>
    <mergeCell ref="B56:B58"/>
    <mergeCell ref="B60:B62"/>
    <mergeCell ref="B19:B32"/>
    <mergeCell ref="B33:B39"/>
    <mergeCell ref="B40:B45"/>
    <mergeCell ref="B46:B47"/>
    <mergeCell ref="B48:B49"/>
    <mergeCell ref="B50:B52"/>
  </mergeCells>
  <phoneticPr fontId="1" type="noConversion"/>
  <conditionalFormatting sqref="AE4:AF4 AC4:AC5">
    <cfRule type="cellIs" dxfId="6" priority="7" operator="equal">
      <formula>"No data"</formula>
    </cfRule>
  </conditionalFormatting>
  <conditionalFormatting sqref="AD5:AE5">
    <cfRule type="cellIs" dxfId="5" priority="6" operator="equal">
      <formula>"No data"</formula>
    </cfRule>
  </conditionalFormatting>
  <conditionalFormatting sqref="AD9:AF9">
    <cfRule type="cellIs" dxfId="4" priority="5" operator="equal">
      <formula>"No data"</formula>
    </cfRule>
  </conditionalFormatting>
  <conditionalFormatting sqref="AD4">
    <cfRule type="cellIs" dxfId="3" priority="4" operator="equal">
      <formula>"No data"</formula>
    </cfRule>
  </conditionalFormatting>
  <conditionalFormatting sqref="AC8">
    <cfRule type="cellIs" dxfId="2" priority="3" operator="equal">
      <formula>"No data"</formula>
    </cfRule>
  </conditionalFormatting>
  <conditionalFormatting sqref="AD11:AE11">
    <cfRule type="cellIs" dxfId="1" priority="2" operator="equal">
      <formula>"No data"</formula>
    </cfRule>
  </conditionalFormatting>
  <conditionalFormatting sqref="AF54:AF55 AF50:AF52 AF46:AF48 AF39:AF42 AF36 AF29:AF32 AF27 AF24:AF25 AF19:AF21 AF17 AF15 AF11 AF5">
    <cfRule type="cellIs" dxfId="0" priority="1" operator="equal">
      <formula>"No data"</formula>
    </cfRule>
  </conditionalFormatting>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CDDC5088AE5ABF44A9FA7C7C0EB40E87" ma:contentTypeVersion="15" ma:contentTypeDescription="새 문서를 만듭니다." ma:contentTypeScope="" ma:versionID="29633f4b205b6c6324e57748a132d7c5">
  <xsd:schema xmlns:xsd="http://www.w3.org/2001/XMLSchema" xmlns:xs="http://www.w3.org/2001/XMLSchema" xmlns:p="http://schemas.microsoft.com/office/2006/metadata/properties" xmlns:ns2="b52a351c-385a-4a7f-aef9-4efa0bbc7380" xmlns:ns3="10166b74-6321-44ce-b5fa-c70fbcb29d23" targetNamespace="http://schemas.microsoft.com/office/2006/metadata/properties" ma:root="true" ma:fieldsID="1479e606cc50589ad25b429c0bbbec97" ns2:_="" ns3:_="">
    <xsd:import namespace="b52a351c-385a-4a7f-aef9-4efa0bbc7380"/>
    <xsd:import namespace="10166b74-6321-44ce-b5fa-c70fbcb29d2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2a351c-385a-4a7f-aef9-4efa0bbc7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60935feb-7add-4910-aeb4-8d9a4674b00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166b74-6321-44ce-b5fa-c70fbcb29d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697c805-73d2-4aa7-bb8e-d311149d86d4}" ma:internalName="TaxCatchAll" ma:showField="CatchAllData" ma:web="10166b74-6321-44ce-b5fa-c70fbcb29d2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0166b74-6321-44ce-b5fa-c70fbcb29d23" xsi:nil="true"/>
    <lcf76f155ced4ddcb4097134ff3c332f xmlns="b52a351c-385a-4a7f-aef9-4efa0bbc73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A1E8BC-AA55-43FD-9424-199E7EDB40F9}"/>
</file>

<file path=customXml/itemProps2.xml><?xml version="1.0" encoding="utf-8"?>
<ds:datastoreItem xmlns:ds="http://schemas.openxmlformats.org/officeDocument/2006/customXml" ds:itemID="{E61CB30F-85D3-4860-B191-7015182B213B}"/>
</file>

<file path=customXml/itemProps3.xml><?xml version="1.0" encoding="utf-8"?>
<ds:datastoreItem xmlns:ds="http://schemas.openxmlformats.org/officeDocument/2006/customXml" ds:itemID="{6A652883-509B-417A-B4C9-9DAA4B1F4E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이인/ITO(SKCC)/SKCHEM</cp:lastModifiedBy>
  <cp:revision/>
  <dcterms:created xsi:type="dcterms:W3CDTF">2025-07-21T05:04:24Z</dcterms:created>
  <dcterms:modified xsi:type="dcterms:W3CDTF">2026-04-22T11:00:46Z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0x010100CDDC5088AE5ABF44A9FA7C7C0EB40E87</vt:lpwstr>
  </property>
</Properties>
</file>